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0023e6963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휴일" sheetId="2" r:id="R1fa1aa669f03435d"/>
    <x:sheet xmlns:r="http://schemas.openxmlformats.org/officeDocument/2006/relationships" name="달력" sheetId="1" r:id="R32fef00f85024245"/>
  </x:sheets>
</x:workbook>
</file>

<file path=xl/sharedStrings.xml><?xml version="1.0" encoding="utf-8"?>
<x:sst xmlns:x="http://schemas.openxmlformats.org/spreadsheetml/2006/main">
  <x:si>
    <x:t xml:space="preserve">날짜</x:t>
  </x:si>
  <x:si>
    <x:t xml:space="preserve">휴일명</x:t>
  </x:si>
  <x:si>
    <x:t xml:space="preserve">신정연휴</x:t>
  </x:si>
  <x:si>
    <x:t xml:space="preserve">설날 전날</x:t>
  </x:si>
  <x:si>
    <x:t xml:space="preserve">설날</x:t>
  </x:si>
  <x:si>
    <x:t xml:space="preserve">설날 다음날</x:t>
  </x:si>
  <x:si>
    <x:t xml:space="preserve">설날 대체 휴일</x:t>
  </x:si>
  <x:si>
    <x:t xml:space="preserve">삼일절</x:t>
  </x:si>
  <x:si>
    <x:t xml:space="preserve">국회의원 선거일</x:t>
  </x:si>
  <x:si>
    <x:t xml:space="preserve">부처님오신날</x:t>
  </x:si>
  <x:si>
    <x:t xml:space="preserve">어린이날</x:t>
  </x:si>
  <x:si>
    <x:t xml:space="preserve">현충일</x:t>
  </x:si>
  <x:si>
    <x:t xml:space="preserve">광복절</x:t>
  </x:si>
  <x:si>
    <x:t xml:space="preserve">임시공휴일</x:t>
  </x:si>
  <x:si>
    <x:t xml:space="preserve">추석 전날</x:t>
  </x:si>
  <x:si>
    <x:t xml:space="preserve">추석</x:t>
  </x:si>
  <x:si>
    <x:t xml:space="preserve">추석 다음날</x:t>
  </x:si>
  <x:si>
    <x:t xml:space="preserve">개천절</x:t>
  </x:si>
  <x:si>
    <x:t xml:space="preserve">한글날</x:t>
  </x:si>
  <x:si>
    <x:t xml:space="preserve">기독탄신일</x:t>
  </x:si>
  <x:si>
    <x:t xml:space="preserve">광복절 대체 휴일</x:t>
  </x:si>
  <x:si>
    <x:t xml:space="preserve">개천절 대체 휴일</x:t>
  </x:si>
  <x:si>
    <x:t xml:space="preserve">한글날 대체 휴일</x:t>
  </x:si>
  <x:si>
    <x:t xml:space="preserve">대통령 선거일</x:t>
  </x:si>
  <x:si>
    <x:t xml:space="preserve">지방선거일</x:t>
  </x:si>
  <x:si>
    <x:t xml:space="preserve">추석 대체 휴일</x:t>
  </x:si>
  <x:si>
    <x:t xml:space="preserve">부처님오신날 대체 휴일</x:t>
  </x:si>
  <x:si>
    <x:t xml:space="preserve">어린이날 대체 휴일</x:t>
  </x:si>
  <x:si>
    <x:t xml:space="preserve">국군의 날</x:t>
  </x:si>
  <x:si>
    <x:t xml:space="preserve">삼일절 대체 휴일</x:t>
  </x:si>
  <x:si>
    <x:t xml:space="preserve">부처님오신날; 어린이날</x:t>
  </x:si>
  <x:si>
    <x:t xml:space="preserve">부처님오신날 대체 휴일; 어린이날 대체 휴일</x:t>
  </x:si>
  <x:si>
    <x:t xml:space="preserve">제헌절</x:t>
  </x:si>
  <x:si>
    <x:t xml:space="preserve">기독탄신일 대체 휴일</x:t>
  </x:si>
  <x:si>
    <x:t xml:space="preserve">개천절; 추석</x:t>
  </x:si>
  <x:si>
    <x:t xml:space="preserve">※ "년도, 월" 만 변경하세요!!
"일, 요일" 셀은 변경x (자동완성)</x:t>
  </x:si>
  <x:si>
    <x:t xml:space="preserve">일</x:t>
  </x:si>
  <x:si>
    <x:t xml:space="preserve">월</x:t>
  </x:si>
  <x:si>
    <x:t xml:space="preserve">화</x:t>
  </x:si>
  <x:si>
    <x:t xml:space="preserve">수</x:t>
  </x:si>
  <x:si>
    <x:t xml:space="preserve">목</x:t>
  </x:si>
  <x:si>
    <x:t xml:space="preserve">금</x:t>
  </x:si>
  <x:si>
    <x:t xml:space="preserve">토</x:t>
  </x:si>
  <x:si>
    <x:t xml:space="preserve">비고</x:t>
  </x:si>
</x:sst>
</file>

<file path=xl/styles.xml><?xml version="1.0" encoding="utf-8"?>
<x:styleSheet xmlns:x="http://schemas.openxmlformats.org/spreadsheetml/2006/main">
  <x:numFmts count="7">
    <x:numFmt numFmtId="176" formatCode="d"/>
    <x:numFmt numFmtId="177" formatCode="0&quot;년&quot;"/>
    <x:numFmt numFmtId="178" formatCode="0&quot;월&quot;"/>
    <x:numFmt numFmtId="179" formatCode="yyyy\-mm\-dd"/>
    <x:numFmt numFmtId="200" formatCode="yyyy-mm-dd"/>
    <x:numFmt numFmtId="201" formatCode="hh:mm"/>
    <x:numFmt numFmtId="202" formatCode="yyyy-mm-dd hh:mm:ss"/>
  </x:numFmts>
  <x:fonts count="24">
    <x:font>
      <x:sz val="11"/>
      <x:color theme="1"/>
      <x:name val="맑은 고딕"/>
    </x:font>
    <x:font>
      <x:b/>
      <x:sz val="13"/>
      <x:color rgb="FFFF0000"/>
      <x:name val="Arial"/>
    </x:font>
    <x:font>
      <x:b/>
      <x:sz val="13"/>
      <x:color theme="1"/>
      <x:name val="Arial"/>
    </x:font>
    <x:font>
      <x:b/>
      <x:sz val="13"/>
      <x:color rgb="FF0000FF"/>
      <x:name val="Arial"/>
    </x:font>
    <x:font>
      <x:b/>
      <x:sz val="11"/>
      <x:color theme="1"/>
      <x:name val="Arial"/>
    </x:font>
    <x:font>
      <x:sz val="8"/>
      <x:name val="맑은 고딕"/>
    </x:font>
    <x:font>
      <x:b/>
      <x:sz val="12"/>
      <x:color rgb="FFFF0000"/>
      <x:name val="Arial"/>
    </x:font>
    <x:font>
      <x:b/>
      <x:sz val="12"/>
      <x:color theme="1"/>
      <x:name val="Arial"/>
    </x:font>
    <x:font>
      <x:b/>
      <x:sz val="20"/>
      <x:color theme="1"/>
      <x:name val="맑은 고딕"/>
    </x:font>
    <x:font>
      <x:sz val="10"/>
      <x:color theme="1"/>
      <x:name val="Arial"/>
    </x:font>
    <x:font>
      <x:b/>
      <x:sz val="11"/>
      <x:name val="맑은 고딕"/>
    </x:font>
    <x:font>
      <x:b/>
      <x:sz val="12"/>
      <x:name val="Arial"/>
    </x:font>
    <x:font>
      <x:b/>
      <x:sz val="12"/>
      <x:color rgb="FF0000FF"/>
      <x:name val="Arial"/>
    </x:font>
    <x:font>
      <x:b/>
      <x:sz val="16"/>
      <x:color rgb="FFFFFFFF"/>
      <x:name val="맑은 고딕"/>
    </x:font>
    <x:font>
      <x:sz val="11"/>
      <x:color rgb="FF24466E"/>
      <x:name val="맑은 고딕"/>
    </x:font>
    <x:font>
      <x:b/>
      <x:sz val="11"/>
      <x:color rgb="FFFFFFFF"/>
      <x:name val="맑은 고딕"/>
    </x:font>
    <x:font>
      <x:sz val="11"/>
      <x:color rgb="FF243447"/>
      <x:name val="맑은 고딕"/>
    </x:font>
    <x:font>
      <x:sz val="9"/>
      <x:color rgb="FF7A8492"/>
      <x:name val="맑은 고딕"/>
    </x:font>
    <x:font>
      <x:sz val="9"/>
      <x:color rgb="FF98A2B3"/>
      <x:name val="맑은 고딕"/>
    </x:font>
    <x:font>
      <x:sz val="8"/>
      <x:color rgb="FFC2C8D0"/>
      <x:name val="맑은 고딕"/>
    </x:font>
    <x:font>
      <x:b/>
      <x:sz val="15"/>
      <x:color rgb="FFFFFFFF"/>
      <x:name val="맑은 고딕"/>
    </x:font>
    <x:font>
      <x:b/>
      <x:sz val="11"/>
      <x:color rgb="FF315D8A"/>
      <x:name val="맑은 고딕"/>
    </x:font>
    <x:font>
      <x:sz val="11"/>
      <x:color rgb="FF3D4A5C"/>
      <x:name val="맑은 고딕"/>
    </x:font>
    <x:font>
      <x:b/>
      <x:sz val="11"/>
      <x:color rgb="FFB33D3D"/>
      <x:name val="맑은 고딕"/>
    </x:font>
  </x:fonts>
  <x:fills count="14">
    <x:fill>
      <x:patternFill patternType="none"/>
    </x:fill>
    <x:fill>
      <x:patternFill patternType="gray125"/>
    </x:fill>
    <x:fill>
      <x:patternFill patternType="solid">
        <x:fgColor rgb="FFCC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72033"/>
      </x:patternFill>
    </x:fill>
    <x:fill>
      <x:patternFill patternType="solid">
        <x:fgColor rgb="FFEAF2FF"/>
      </x:patternFill>
    </x:fill>
    <x:fill>
      <x:patternFill patternType="solid">
        <x:fgColor rgb="FF315D8A"/>
      </x:patternFill>
    </x:fill>
    <x:fill>
      <x:patternFill patternType="solid">
        <x:fgColor rgb="FFFFF7D6"/>
      </x:patternFill>
    </x:fill>
    <x:fill>
      <x:patternFill patternType="solid">
        <x:fgColor rgb="FFF2F4F7"/>
      </x:patternFill>
    </x:fill>
    <x:fill>
      <x:patternFill patternType="solid">
        <x:fgColor rgb="FFF7F9FC"/>
      </x:patternFill>
    </x:fill>
    <x:fill>
      <x:patternFill patternType="solid">
        <x:fgColor rgb="FFF8FAFD"/>
      </x:patternFill>
    </x:fill>
    <x:fill>
      <x:patternFill patternType="solid">
        <x:fgColor rgb="FFFFF0F0"/>
      </x:patternFill>
    </x:fill>
    <x:fill>
      <x:patternFill patternType="solid">
        <x:fgColor rgb="FFFFF8F8"/>
      </x:patternFill>
    </x:fill>
  </x:fills>
  <x:borders count="20">
    <x:border/>
    <x:border>
      <x:left style="medium">
        <x:color rgb="FFCCCCCC"/>
      </x:left>
      <x:right style="medium">
        <x:color rgb="FFCCCCCC"/>
      </x:right>
      <x:top style="medium">
        <x:color rgb="FFCCCCCC"/>
      </x:top>
    </x:border>
    <x:border>
      <x:right style="medium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theme="0" tint="-0.15"/>
      </x:bottom>
    </x:border>
    <x:border>
      <x:left style="thin">
        <x:color indexed="64"/>
      </x:left>
      <x:right style="thin">
        <x:color indexed="64"/>
      </x:right>
      <x:top style="thin">
        <x:color theme="0" tint="-0.15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theme="0" tint="-0.15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theme="0" tint="-0.15"/>
      </x:bottom>
    </x:border>
    <x:border>
      <x:left style="thin">
        <x:color rgb="FFE7DCA8"/>
      </x:left>
      <x:right style="thin">
        <x:color rgb="FFE7DCA8"/>
      </x:right>
      <x:top style="thin">
        <x:color rgb="FFE7DCA8"/>
      </x:top>
      <x:bottom style="thin">
        <x:color rgb="FFE7DCA8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>
      <x:alignment vertical="center"/>
    </x:xf>
  </x:cellStyleXfs>
  <x:cellXfs count="68">
    <x:xf numFmtId="0" fontId="0" fillId="0" borderId="0" xfId="0" applyAlignment="1">
      <x:alignment vertical="center"/>
    </x:xf>
    <x:xf numFmtId="0" fontId="4" fillId="4" borderId="2" xfId="0" applyFont="1" applyFill="1" applyBorder="1" applyAlignment="1">
      <x:alignment vertical="top" wrapText="1"/>
    </x:xf>
    <x:xf numFmtId="0" fontId="4" fillId="4" borderId="3" xfId="0" applyFont="1" applyFill="1" applyBorder="1" applyAlignment="1">
      <x:alignment vertical="top" wrapText="1"/>
    </x:xf>
    <x:xf numFmtId="0" fontId="3" fillId="3" borderId="4" xfId="0" applyFont="1" applyFill="1" applyBorder="1" applyAlignment="1">
      <x:alignment horizontal="center" wrapText="1"/>
    </x:xf>
    <x:xf numFmtId="0" fontId="1" fillId="3" borderId="5" xfId="0" applyFont="1" applyFill="1" applyBorder="1" applyAlignment="1">
      <x:alignment wrapText="1"/>
    </x:xf>
    <x:xf numFmtId="0" fontId="2" fillId="3" borderId="6" xfId="0" applyFont="1" applyFill="1" applyBorder="1" applyAlignment="1">
      <x:alignment wrapText="1"/>
    </x:xf>
    <x:xf numFmtId="0" fontId="3" fillId="3" borderId="7" xfId="0" applyFont="1" applyFill="1" applyBorder="1" applyAlignment="1">
      <x:alignment wrapText="1"/>
    </x:xf>
    <x:xf numFmtId="0" fontId="9" fillId="2" borderId="1" xfId="0" applyFont="1" applyFill="1" applyBorder="1" applyAlignment="1">
      <x:alignment wrapText="1"/>
    </x:xf>
    <x:xf numFmtId="0" fontId="0" fillId="0" borderId="0" xfId="0" applyAlignment="1"/>
    <x:xf numFmtId="177" fontId="8" fillId="0" borderId="0" xfId="0" applyNumberFormat="1" applyFont="1" applyAlignment="1">
      <x:alignment vertical="center"/>
    </x:xf>
    <x:xf numFmtId="178" fontId="8" fillId="0" borderId="0" xfId="0" applyNumberFormat="1" applyFont="1" applyAlignment="1">
      <x:alignment vertical="center"/>
    </x:xf>
    <x:xf numFmtId="176" fontId="6" fillId="0" borderId="14" xfId="0" applyNumberFormat="1" applyFont="1" applyBorder="1" applyAlignment="1">
      <x:alignment horizontal="right" vertical="top" wrapText="1"/>
    </x:xf>
    <x:xf numFmtId="176" fontId="7" fillId="0" borderId="16" xfId="0" applyNumberFormat="1" applyFont="1" applyBorder="1" applyAlignment="1">
      <x:alignment horizontal="right" vertical="top" wrapText="1"/>
    </x:xf>
    <x:xf numFmtId="179" fontId="0" fillId="0" borderId="0" xfId="0" applyNumberFormat="1" applyAlignment="1"/>
    <x:xf numFmtId="0" fontId="10" fillId="0" borderId="0" xfId="0" applyFont="1" applyAlignment="1"/>
    <x:xf numFmtId="0" fontId="11" fillId="0" borderId="9" xfId="0" applyFont="1" applyBorder="1" applyAlignment="1">
      <x:alignment vertical="top" wrapText="1"/>
    </x:xf>
    <x:xf numFmtId="0" fontId="11" fillId="0" borderId="15" xfId="0" applyFont="1" applyBorder="1" applyAlignment="1">
      <x:alignment vertical="top" wrapText="1"/>
    </x:xf>
    <x:xf numFmtId="0" fontId="11" fillId="0" borderId="8" xfId="0" applyFont="1" applyBorder="1" applyAlignment="1">
      <x:alignment vertical="top" wrapText="1"/>
    </x:xf>
    <x:xf numFmtId="0" fontId="11" fillId="0" borderId="10" xfId="0" applyFont="1" applyBorder="1" applyAlignment="1">
      <x:alignment vertical="top" wrapText="1"/>
    </x:xf>
    <x:xf numFmtId="0" fontId="11" fillId="0" borderId="11" xfId="0" applyFont="1" applyBorder="1" applyAlignment="1">
      <x:alignment vertical="top" wrapText="1"/>
    </x:xf>
    <x:xf numFmtId="0" fontId="11" fillId="0" borderId="12" xfId="0" applyFont="1" applyBorder="1" applyAlignment="1">
      <x:alignment vertical="top" wrapText="1"/>
    </x:xf>
    <x:xf numFmtId="0" fontId="11" fillId="0" borderId="13" xfId="0" applyFont="1" applyBorder="1" applyAlignment="1">
      <x:alignment vertical="top" wrapText="1"/>
    </x:xf>
    <x:xf numFmtId="176" fontId="12" fillId="0" borderId="17" xfId="0" applyNumberFormat="1" applyFont="1" applyBorder="1" applyAlignment="1">
      <x:alignment horizontal="right" vertical="top" wrapText="1"/>
    </x:xf>
    <x:xf numFmtId="0" fontId="0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16" fillId="8" borderId="18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17" fillId="9" borderId="0" xfId="0" applyNumberFormat="1" applyFont="1" applyFill="1" applyBorder="1" applyAlignment="1">
      <x:alignment vertical="center"/>
    </x:xf>
    <x:xf numFmtId="0" fontId="17" fillId="9" borderId="19" xfId="0" applyNumberFormat="1" applyFont="1" applyFill="1" applyBorder="1" applyAlignment="1">
      <x:alignment vertical="center"/>
    </x:xf>
    <x:xf numFmtId="200" fontId="16" fillId="8" borderId="18" xfId="0" applyNumberFormat="1" applyFont="1" applyFill="1" applyBorder="1" applyAlignment="1">
      <x:alignment vertical="center"/>
    </x:xf>
    <x:xf numFmtId="201" fontId="16" fillId="8" borderId="18" xfId="0" applyNumberFormat="1" applyFont="1" applyFill="1" applyBorder="1" applyAlignment="1">
      <x:alignment vertical="center"/>
    </x:xf>
    <x:xf numFmtId="202" fontId="17" fillId="9" borderId="1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200" fontId="0" fillId="10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/>
    </x:xf>
    <x:xf numFmtId="200" fontId="18" fillId="10" borderId="0" xfId="0" applyNumberFormat="1" applyFont="1" applyFill="1" applyBorder="1" applyAlignment="1">
      <x:alignment vertical="center"/>
    </x:xf>
    <x:xf numFmtId="0" fontId="19" fillId="10" borderId="0" xfId="0" applyNumberFormat="1" applyFont="1" applyFill="1" applyBorder="1" applyAlignment="1">
      <x:alignment vertical="center"/>
    </x:xf>
    <x:xf numFmtId="200" fontId="19" fillId="10" borderId="0" xfId="0" applyNumberFormat="1" applyFont="1" applyFill="1" applyBorder="1" applyAlignment="1">
      <x:alignment vertical="center"/>
    </x:xf>
    <x:xf numFmtId="176" fontId="6" fillId="0" borderId="14" xfId="0" applyNumberFormat="1" applyFont="1" applyFill="1" applyBorder="1" applyAlignment="1">
      <x:alignment horizontal="left" vertical="top" wrapText="1"/>
    </x:xf>
    <x:xf numFmtId="176" fontId="7" fillId="0" borderId="16" xfId="0" applyNumberFormat="1" applyFont="1" applyFill="1" applyBorder="1" applyAlignment="1">
      <x:alignment horizontal="left" vertical="top" wrapText="1"/>
    </x:xf>
    <x:xf numFmtId="176" fontId="12" fillId="0" borderId="17" xfId="0" applyNumberFormat="1" applyFont="1" applyFill="1" applyBorder="1" applyAlignment="1">
      <x:alignment horizontal="left"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0" borderId="15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 applyAlignment="1">
      <x:alignment vertical="top" wrapText="1"/>
    </x:xf>
    <x:xf numFmtId="0" fontId="11" fillId="0" borderId="13" xfId="0" applyNumberFormat="1" applyFont="1" applyFill="1" applyBorder="1" applyAlignment="1">
      <x:alignment vertical="top" wrapText="1"/>
    </x:xf>
    <x:xf numFmtId="0" fontId="20" fillId="5" borderId="0" xfId="0" applyNumberFormat="1" applyFont="1" applyFill="1" applyBorder="1" applyAlignment="1">
      <x:alignment vertical="center"/>
    </x:xf>
    <x:xf numFmtId="0" fontId="20" fillId="5" borderId="0" xfId="0" applyNumberFormat="1" applyFont="1" applyFill="1" applyBorder="1" applyAlignment="1">
      <x:alignment horizontal="left" vertical="center"/>
    </x:xf>
    <x:xf numFmtId="0" fontId="21" fillId="6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22" fillId="11" borderId="0" xfId="0" applyNumberFormat="1" applyFont="1" applyFill="1" applyBorder="1" applyAlignment="1">
      <x:alignment vertical="center"/>
    </x:xf>
    <x:xf numFmtId="0" fontId="22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/>
    </x:xf>
    <x:xf numFmtId="0" fontId="23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22" fillId="13" borderId="0" xfId="0" applyNumberFormat="1" applyFont="1" applyFill="1" applyBorder="1" applyAlignment="1">
      <x:alignment vertical="center"/>
    </x:xf>
    <x:xf numFmtId="0" fontId="22" fillId="13" borderId="0" xfId="0" applyNumberFormat="1" applyFont="1" applyFill="1" applyBorder="1" applyAlignment="1">
      <x:alignment vertical="center" wrapText="1"/>
    </x:xf>
  </x:cellXfs>
  <x:cellStyles count="1">
    <x:cellStyle name="표준" xfId="0"/>
  </x:cellStyles>
  <x:dxfs count="44">
    <x:dxf>
      <x:font>
        <x:b/>
        <x:color rgb="FFFF0000"/>
      </x:font>
    </x:dxf>
    <x:dxf>
      <x:font>
        <x:color rgb="FF808080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  <x:dxf>
      <x:font>
        <x:b/>
        <x:color rgb="FFE8585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f28f159144d17" /><Relationship Type="http://schemas.openxmlformats.org/officeDocument/2006/relationships/theme" Target="/xl/theme/theme1.xml" Id="R4db691a6a7344de6" /><Relationship Type="http://schemas.openxmlformats.org/officeDocument/2006/relationships/sharedStrings" Target="/xl/sharedStrings.xml" Id="R399bb91294224b20" /><Relationship Type="http://schemas.openxmlformats.org/officeDocument/2006/relationships/worksheet" Target="/xl/worksheets/sheet1.xml" Id="R1fa1aa669f03435d" /><Relationship Type="http://schemas.openxmlformats.org/officeDocument/2006/relationships/worksheet" Target="/xl/worksheets/sheet2.xml" Id="R32fef00f85024245" /></Relationships>
</file>

<file path=xl/tables/table1.xml><?xml version="1.0" encoding="utf-8"?>
<x:table xmlns:x="http://schemas.openxmlformats.org/spreadsheetml/2006/main" id="1" name="CalendarEvents" displayName="CalendarEvents" ref="J4:Q34" headerRowCount="1" totalsRowCount="0" totalsRowShown="0">
  <x:tableColumns count="8">
    <x:tableColumn id="1" name="날짜"/>
    <x:tableColumn id="2" name="제목"/>
    <x:tableColumn id="3" name="메모"/>
    <x:tableColumn id="4" name="알림시각"/>
    <x:tableColumn id="5" name="색상"/>
    <x:tableColumn id="6" name="ID"/>
    <x:tableColumn id="7" name="수정시간"/>
    <x:tableColumn id="8" name="삭제시간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5a24897e864535" /></Relationships>
</file>

<file path=xl/worksheets/sheet1.xml><?xml version="1.0" encoding="utf-8"?>
<x:worksheet xmlns:x="http://schemas.openxmlformats.org/spreadsheetml/2006/main">
  <x:sheetFormatPr defaultRowHeight="16.5"/>
  <x:cols>
    <x:col min="1" max="1" width="15" style="8" customWidth="1"/>
    <x:col min="2" max="2" width="30" style="8" customWidth="1"/>
  </x:cols>
  <x:sheetData>
    <x:row r="1">
      <x:c r="A1" s="14" t="s">
        <x:v>0</x:v>
      </x:c>
      <x:c r="B1" s="14" t="s">
        <x:v>1</x:v>
      </x:c>
    </x:row>
    <x:row r="2">
      <x:c r="A2" s="13">
        <x:v>43831</x:v>
      </x:c>
      <x:c r="B2" t="s">
        <x:v>2</x:v>
      </x:c>
    </x:row>
    <x:row r="3">
      <x:c r="A3" s="13">
        <x:v>43854</x:v>
      </x:c>
      <x:c r="B3" t="s">
        <x:v>3</x:v>
      </x:c>
    </x:row>
    <x:row r="4">
      <x:c r="A4" s="13">
        <x:v>43855</x:v>
      </x:c>
      <x:c r="B4" t="s">
        <x:v>4</x:v>
      </x:c>
    </x:row>
    <x:row r="5">
      <x:c r="A5" s="13">
        <x:v>43856</x:v>
      </x:c>
      <x:c r="B5" t="s">
        <x:v>5</x:v>
      </x:c>
    </x:row>
    <x:row r="6">
      <x:c r="A6" s="13">
        <x:v>43857</x:v>
      </x:c>
      <x:c r="B6" t="s">
        <x:v>6</x:v>
      </x:c>
    </x:row>
    <x:row r="7">
      <x:c r="A7" s="13">
        <x:v>43891</x:v>
      </x:c>
      <x:c r="B7" t="s">
        <x:v>7</x:v>
      </x:c>
    </x:row>
    <x:row r="8">
      <x:c r="A8" s="13">
        <x:v>43936</x:v>
      </x:c>
      <x:c r="B8" t="s">
        <x:v>8</x:v>
      </x:c>
    </x:row>
    <x:row r="9">
      <x:c r="A9" s="13">
        <x:v>43951</x:v>
      </x:c>
      <x:c r="B9" t="s">
        <x:v>9</x:v>
      </x:c>
    </x:row>
    <x:row r="10">
      <x:c r="A10" s="13">
        <x:v>43956</x:v>
      </x:c>
      <x:c r="B10" t="s">
        <x:v>10</x:v>
      </x:c>
    </x:row>
    <x:row r="11">
      <x:c r="A11" s="13">
        <x:v>43988</x:v>
      </x:c>
      <x:c r="B11" t="s">
        <x:v>11</x:v>
      </x:c>
    </x:row>
    <x:row r="12">
      <x:c r="A12" s="13">
        <x:v>44058</x:v>
      </x:c>
      <x:c r="B12" t="s">
        <x:v>12</x:v>
      </x:c>
    </x:row>
    <x:row r="13">
      <x:c r="A13" s="13">
        <x:v>44060</x:v>
      </x:c>
      <x:c r="B13" t="s">
        <x:v>13</x:v>
      </x:c>
    </x:row>
    <x:row r="14">
      <x:c r="A14" s="13">
        <x:v>44104</x:v>
      </x:c>
      <x:c r="B14" t="s">
        <x:v>14</x:v>
      </x:c>
    </x:row>
    <x:row r="15">
      <x:c r="A15" s="13">
        <x:v>44105</x:v>
      </x:c>
      <x:c r="B15" t="s">
        <x:v>15</x:v>
      </x:c>
    </x:row>
    <x:row r="16">
      <x:c r="A16" s="13">
        <x:v>44106</x:v>
      </x:c>
      <x:c r="B16" t="s">
        <x:v>16</x:v>
      </x:c>
    </x:row>
    <x:row r="17">
      <x:c r="A17" s="13">
        <x:v>44107</x:v>
      </x:c>
      <x:c r="B17" t="s">
        <x:v>17</x:v>
      </x:c>
    </x:row>
    <x:row r="18">
      <x:c r="A18" s="13">
        <x:v>44113</x:v>
      </x:c>
      <x:c r="B18" t="s">
        <x:v>18</x:v>
      </x:c>
    </x:row>
    <x:row r="19">
      <x:c r="A19" s="13">
        <x:v>44190</x:v>
      </x:c>
      <x:c r="B19" t="s">
        <x:v>19</x:v>
      </x:c>
    </x:row>
    <x:row r="20">
      <x:c r="A20" s="13">
        <x:v>44197</x:v>
      </x:c>
      <x:c r="B20" t="s">
        <x:v>2</x:v>
      </x:c>
    </x:row>
    <x:row r="21">
      <x:c r="A21" s="13">
        <x:v>44238</x:v>
      </x:c>
      <x:c r="B21" t="s">
        <x:v>3</x:v>
      </x:c>
    </x:row>
    <x:row r="22">
      <x:c r="A22" s="13">
        <x:v>44239</x:v>
      </x:c>
      <x:c r="B22" t="s">
        <x:v>4</x:v>
      </x:c>
    </x:row>
    <x:row r="23">
      <x:c r="A23" s="13">
        <x:v>44240</x:v>
      </x:c>
      <x:c r="B23" t="s">
        <x:v>5</x:v>
      </x:c>
    </x:row>
    <x:row r="24">
      <x:c r="A24" s="13">
        <x:v>44256</x:v>
      </x:c>
      <x:c r="B24" t="s">
        <x:v>7</x:v>
      </x:c>
    </x:row>
    <x:row r="25">
      <x:c r="A25" s="13">
        <x:v>44321</x:v>
      </x:c>
      <x:c r="B25" t="s">
        <x:v>10</x:v>
      </x:c>
    </x:row>
    <x:row r="26">
      <x:c r="A26" s="13">
        <x:v>44335</x:v>
      </x:c>
      <x:c r="B26" t="s">
        <x:v>9</x:v>
      </x:c>
    </x:row>
    <x:row r="27">
      <x:c r="A27" s="13">
        <x:v>44353</x:v>
      </x:c>
      <x:c r="B27" t="s">
        <x:v>11</x:v>
      </x:c>
    </x:row>
    <x:row r="28">
      <x:c r="A28" s="13">
        <x:v>44423</x:v>
      </x:c>
      <x:c r="B28" t="s">
        <x:v>12</x:v>
      </x:c>
    </x:row>
    <x:row r="29">
      <x:c r="A29" s="13">
        <x:v>44424</x:v>
      </x:c>
      <x:c r="B29" t="s">
        <x:v>20</x:v>
      </x:c>
    </x:row>
    <x:row r="30">
      <x:c r="A30" s="13">
        <x:v>44459</x:v>
      </x:c>
      <x:c r="B30" t="s">
        <x:v>14</x:v>
      </x:c>
    </x:row>
    <x:row r="31">
      <x:c r="A31" s="13">
        <x:v>44460</x:v>
      </x:c>
      <x:c r="B31" t="s">
        <x:v>15</x:v>
      </x:c>
    </x:row>
    <x:row r="32">
      <x:c r="A32" s="13">
        <x:v>44461</x:v>
      </x:c>
      <x:c r="B32" t="s">
        <x:v>16</x:v>
      </x:c>
    </x:row>
    <x:row r="33">
      <x:c r="A33" s="13">
        <x:v>44472</x:v>
      </x:c>
      <x:c r="B33" t="s">
        <x:v>17</x:v>
      </x:c>
    </x:row>
    <x:row r="34">
      <x:c r="A34" s="13">
        <x:v>44473</x:v>
      </x:c>
      <x:c r="B34" t="s">
        <x:v>21</x:v>
      </x:c>
    </x:row>
    <x:row r="35">
      <x:c r="A35" s="13">
        <x:v>44478</x:v>
      </x:c>
      <x:c r="B35" t="s">
        <x:v>18</x:v>
      </x:c>
    </x:row>
    <x:row r="36">
      <x:c r="A36" s="13">
        <x:v>44480</x:v>
      </x:c>
      <x:c r="B36" t="s">
        <x:v>22</x:v>
      </x:c>
    </x:row>
    <x:row r="37">
      <x:c r="A37" s="13">
        <x:v>44555</x:v>
      </x:c>
      <x:c r="B37" t="s">
        <x:v>19</x:v>
      </x:c>
    </x:row>
    <x:row r="38">
      <x:c r="A38" s="13">
        <x:v>44562</x:v>
      </x:c>
      <x:c r="B38" t="s">
        <x:v>2</x:v>
      </x:c>
    </x:row>
    <x:row r="39">
      <x:c r="A39" s="13">
        <x:v>44592</x:v>
      </x:c>
      <x:c r="B39" t="s">
        <x:v>3</x:v>
      </x:c>
    </x:row>
    <x:row r="40">
      <x:c r="A40" s="13">
        <x:v>44593</x:v>
      </x:c>
      <x:c r="B40" t="s">
        <x:v>4</x:v>
      </x:c>
    </x:row>
    <x:row r="41">
      <x:c r="A41" s="13">
        <x:v>44594</x:v>
      </x:c>
      <x:c r="B41" t="s">
        <x:v>5</x:v>
      </x:c>
    </x:row>
    <x:row r="42">
      <x:c r="A42" s="13">
        <x:v>44621</x:v>
      </x:c>
      <x:c r="B42" t="s">
        <x:v>7</x:v>
      </x:c>
    </x:row>
    <x:row r="43">
      <x:c r="A43" s="13">
        <x:v>44629</x:v>
      </x:c>
      <x:c r="B43" t="s">
        <x:v>23</x:v>
      </x:c>
    </x:row>
    <x:row r="44">
      <x:c r="A44" s="13">
        <x:v>44686</x:v>
      </x:c>
      <x:c r="B44" t="s">
        <x:v>10</x:v>
      </x:c>
    </x:row>
    <x:row r="45">
      <x:c r="A45" s="13">
        <x:v>44689</x:v>
      </x:c>
      <x:c r="B45" t="s">
        <x:v>9</x:v>
      </x:c>
    </x:row>
    <x:row r="46">
      <x:c r="A46" s="13">
        <x:v>44713</x:v>
      </x:c>
      <x:c r="B46" t="s">
        <x:v>24</x:v>
      </x:c>
    </x:row>
    <x:row r="47">
      <x:c r="A47" s="13">
        <x:v>44718</x:v>
      </x:c>
      <x:c r="B47" t="s">
        <x:v>11</x:v>
      </x:c>
    </x:row>
    <x:row r="48">
      <x:c r="A48" s="13">
        <x:v>44788</x:v>
      </x:c>
      <x:c r="B48" t="s">
        <x:v>12</x:v>
      </x:c>
    </x:row>
    <x:row r="49">
      <x:c r="A49" s="13">
        <x:v>44813</x:v>
      </x:c>
      <x:c r="B49" t="s">
        <x:v>14</x:v>
      </x:c>
    </x:row>
    <x:row r="50">
      <x:c r="A50" s="13">
        <x:v>44814</x:v>
      </x:c>
      <x:c r="B50" t="s">
        <x:v>15</x:v>
      </x:c>
    </x:row>
    <x:row r="51">
      <x:c r="A51" s="13">
        <x:v>44815</x:v>
      </x:c>
      <x:c r="B51" t="s">
        <x:v>16</x:v>
      </x:c>
    </x:row>
    <x:row r="52">
      <x:c r="A52" s="13">
        <x:v>44816</x:v>
      </x:c>
      <x:c r="B52" t="s">
        <x:v>25</x:v>
      </x:c>
    </x:row>
    <x:row r="53">
      <x:c r="A53" s="13">
        <x:v>44837</x:v>
      </x:c>
      <x:c r="B53" t="s">
        <x:v>17</x:v>
      </x:c>
    </x:row>
    <x:row r="54">
      <x:c r="A54" s="13">
        <x:v>44843</x:v>
      </x:c>
      <x:c r="B54" t="s">
        <x:v>18</x:v>
      </x:c>
    </x:row>
    <x:row r="55">
      <x:c r="A55" s="13">
        <x:v>44844</x:v>
      </x:c>
      <x:c r="B55" t="s">
        <x:v>22</x:v>
      </x:c>
    </x:row>
    <x:row r="56">
      <x:c r="A56" s="13">
        <x:v>44920</x:v>
      </x:c>
      <x:c r="B56" t="s">
        <x:v>19</x:v>
      </x:c>
    </x:row>
    <x:row r="57">
      <x:c r="A57" s="13">
        <x:v>44927</x:v>
      </x:c>
      <x:c r="B57" t="s">
        <x:v>2</x:v>
      </x:c>
    </x:row>
    <x:row r="58">
      <x:c r="A58" s="13">
        <x:v>44947</x:v>
      </x:c>
      <x:c r="B58" t="s">
        <x:v>3</x:v>
      </x:c>
    </x:row>
    <x:row r="59">
      <x:c r="A59" s="13">
        <x:v>44948</x:v>
      </x:c>
      <x:c r="B59" t="s">
        <x:v>4</x:v>
      </x:c>
    </x:row>
    <x:row r="60">
      <x:c r="A60" s="13">
        <x:v>44949</x:v>
      </x:c>
      <x:c r="B60" t="s">
        <x:v>5</x:v>
      </x:c>
    </x:row>
    <x:row r="61">
      <x:c r="A61" s="13">
        <x:v>44950</x:v>
      </x:c>
      <x:c r="B61" t="s">
        <x:v>6</x:v>
      </x:c>
    </x:row>
    <x:row r="62">
      <x:c r="A62" s="13">
        <x:v>44986</x:v>
      </x:c>
      <x:c r="B62" t="s">
        <x:v>7</x:v>
      </x:c>
    </x:row>
    <x:row r="63">
      <x:c r="A63" s="13">
        <x:v>45051</x:v>
      </x:c>
      <x:c r="B63" t="s">
        <x:v>10</x:v>
      </x:c>
    </x:row>
    <x:row r="64">
      <x:c r="A64" s="13">
        <x:v>45073</x:v>
      </x:c>
      <x:c r="B64" t="s">
        <x:v>9</x:v>
      </x:c>
    </x:row>
    <x:row r="65">
      <x:c r="A65" s="13">
        <x:v>45075</x:v>
      </x:c>
      <x:c r="B65" t="s">
        <x:v>26</x:v>
      </x:c>
    </x:row>
    <x:row r="66">
      <x:c r="A66" s="13">
        <x:v>45083</x:v>
      </x:c>
      <x:c r="B66" t="s">
        <x:v>11</x:v>
      </x:c>
    </x:row>
    <x:row r="67">
      <x:c r="A67" s="13">
        <x:v>45153</x:v>
      </x:c>
      <x:c r="B67" t="s">
        <x:v>12</x:v>
      </x:c>
    </x:row>
    <x:row r="68">
      <x:c r="A68" s="13">
        <x:v>45197</x:v>
      </x:c>
      <x:c r="B68" t="s">
        <x:v>14</x:v>
      </x:c>
    </x:row>
    <x:row r="69">
      <x:c r="A69" s="13">
        <x:v>45198</x:v>
      </x:c>
      <x:c r="B69" t="s">
        <x:v>15</x:v>
      </x:c>
    </x:row>
    <x:row r="70">
      <x:c r="A70" s="13">
        <x:v>45199</x:v>
      </x:c>
      <x:c r="B70" t="s">
        <x:v>16</x:v>
      </x:c>
    </x:row>
    <x:row r="71">
      <x:c r="A71" s="13">
        <x:v>45201</x:v>
      </x:c>
      <x:c r="B71" t="s">
        <x:v>13</x:v>
      </x:c>
    </x:row>
    <x:row r="72">
      <x:c r="A72" s="13">
        <x:v>45202</x:v>
      </x:c>
      <x:c r="B72" t="s">
        <x:v>17</x:v>
      </x:c>
    </x:row>
    <x:row r="73">
      <x:c r="A73" s="13">
        <x:v>45208</x:v>
      </x:c>
      <x:c r="B73" t="s">
        <x:v>18</x:v>
      </x:c>
    </x:row>
    <x:row r="74">
      <x:c r="A74" s="13">
        <x:v>45285</x:v>
      </x:c>
      <x:c r="B74" t="s">
        <x:v>19</x:v>
      </x:c>
    </x:row>
    <x:row r="75">
      <x:c r="A75" s="13">
        <x:v>45292</x:v>
      </x:c>
      <x:c r="B75" t="s">
        <x:v>2</x:v>
      </x:c>
    </x:row>
    <x:row r="76">
      <x:c r="A76" s="13">
        <x:v>45331</x:v>
      </x:c>
      <x:c r="B76" t="s">
        <x:v>3</x:v>
      </x:c>
    </x:row>
    <x:row r="77">
      <x:c r="A77" s="13">
        <x:v>45332</x:v>
      </x:c>
      <x:c r="B77" t="s">
        <x:v>4</x:v>
      </x:c>
    </x:row>
    <x:row r="78">
      <x:c r="A78" s="13">
        <x:v>45333</x:v>
      </x:c>
      <x:c r="B78" t="s">
        <x:v>5</x:v>
      </x:c>
    </x:row>
    <x:row r="79">
      <x:c r="A79" s="13">
        <x:v>45334</x:v>
      </x:c>
      <x:c r="B79" t="s">
        <x:v>6</x:v>
      </x:c>
    </x:row>
    <x:row r="80">
      <x:c r="A80" s="13">
        <x:v>45352</x:v>
      </x:c>
      <x:c r="B80" t="s">
        <x:v>7</x:v>
      </x:c>
    </x:row>
    <x:row r="81">
      <x:c r="A81" s="13">
        <x:v>45392</x:v>
      </x:c>
      <x:c r="B81" t="s">
        <x:v>8</x:v>
      </x:c>
    </x:row>
    <x:row r="82">
      <x:c r="A82" s="13">
        <x:v>45417</x:v>
      </x:c>
      <x:c r="B82" t="s">
        <x:v>10</x:v>
      </x:c>
    </x:row>
    <x:row r="83">
      <x:c r="A83" s="13">
        <x:v>45418</x:v>
      </x:c>
      <x:c r="B83" t="s">
        <x:v>27</x:v>
      </x:c>
    </x:row>
    <x:row r="84">
      <x:c r="A84" s="13">
        <x:v>45427</x:v>
      </x:c>
      <x:c r="B84" t="s">
        <x:v>9</x:v>
      </x:c>
    </x:row>
    <x:row r="85">
      <x:c r="A85" s="13">
        <x:v>45449</x:v>
      </x:c>
      <x:c r="B85" t="s">
        <x:v>11</x:v>
      </x:c>
    </x:row>
    <x:row r="86">
      <x:c r="A86" s="13">
        <x:v>45519</x:v>
      </x:c>
      <x:c r="B86" t="s">
        <x:v>12</x:v>
      </x:c>
    </x:row>
    <x:row r="87">
      <x:c r="A87" s="13">
        <x:v>45551</x:v>
      </x:c>
      <x:c r="B87" t="s">
        <x:v>14</x:v>
      </x:c>
    </x:row>
    <x:row r="88">
      <x:c r="A88" s="13">
        <x:v>45552</x:v>
      </x:c>
      <x:c r="B88" t="s">
        <x:v>15</x:v>
      </x:c>
    </x:row>
    <x:row r="89">
      <x:c r="A89" s="13">
        <x:v>45553</x:v>
      </x:c>
      <x:c r="B89" t="s">
        <x:v>16</x:v>
      </x:c>
    </x:row>
    <x:row r="90">
      <x:c r="A90" s="13">
        <x:v>45566</x:v>
      </x:c>
      <x:c r="B90" t="s">
        <x:v>28</x:v>
      </x:c>
    </x:row>
    <x:row r="91">
      <x:c r="A91" s="13">
        <x:v>45568</x:v>
      </x:c>
      <x:c r="B91" t="s">
        <x:v>17</x:v>
      </x:c>
    </x:row>
    <x:row r="92">
      <x:c r="A92" s="13">
        <x:v>45574</x:v>
      </x:c>
      <x:c r="B92" t="s">
        <x:v>18</x:v>
      </x:c>
    </x:row>
    <x:row r="93">
      <x:c r="A93" s="13">
        <x:v>45651</x:v>
      </x:c>
      <x:c r="B93" t="s">
        <x:v>19</x:v>
      </x:c>
    </x:row>
    <x:row r="94">
      <x:c r="A94" s="13">
        <x:v>45658</x:v>
      </x:c>
      <x:c r="B94" t="s">
        <x:v>2</x:v>
      </x:c>
    </x:row>
    <x:row r="95">
      <x:c r="A95" s="13">
        <x:v>45684</x:v>
      </x:c>
      <x:c r="B95" t="s">
        <x:v>13</x:v>
      </x:c>
    </x:row>
    <x:row r="96">
      <x:c r="A96" s="13">
        <x:v>45685</x:v>
      </x:c>
      <x:c r="B96" t="s">
        <x:v>3</x:v>
      </x:c>
    </x:row>
    <x:row r="97">
      <x:c r="A97" s="13">
        <x:v>45686</x:v>
      </x:c>
      <x:c r="B97" t="s">
        <x:v>4</x:v>
      </x:c>
    </x:row>
    <x:row r="98">
      <x:c r="A98" s="13">
        <x:v>45687</x:v>
      </x:c>
      <x:c r="B98" t="s">
        <x:v>5</x:v>
      </x:c>
    </x:row>
    <x:row r="99">
      <x:c r="A99" s="13">
        <x:v>45717</x:v>
      </x:c>
      <x:c r="B99" t="s">
        <x:v>7</x:v>
      </x:c>
    </x:row>
    <x:row r="100">
      <x:c r="A100" s="13">
        <x:v>45719</x:v>
      </x:c>
      <x:c r="B100" t="s">
        <x:v>29</x:v>
      </x:c>
    </x:row>
    <x:row r="101">
      <x:c r="A101" s="13">
        <x:v>45782</x:v>
      </x:c>
      <x:c r="B101" t="s">
        <x:v>30</x:v>
      </x:c>
    </x:row>
    <x:row r="102">
      <x:c r="A102" s="13">
        <x:v>45783</x:v>
      </x:c>
      <x:c r="B102" t="s">
        <x:v>31</x:v>
      </x:c>
    </x:row>
    <x:row r="103">
      <x:c r="A103" s="13">
        <x:v>45811</x:v>
      </x:c>
      <x:c r="B103" t="s">
        <x:v>23</x:v>
      </x:c>
    </x:row>
    <x:row r="104">
      <x:c r="A104" s="13">
        <x:v>45814</x:v>
      </x:c>
      <x:c r="B104" t="s">
        <x:v>11</x:v>
      </x:c>
    </x:row>
    <x:row r="105">
      <x:c r="A105" s="13">
        <x:v>45884</x:v>
      </x:c>
      <x:c r="B105" t="s">
        <x:v>12</x:v>
      </x:c>
    </x:row>
    <x:row r="106">
      <x:c r="A106" s="13">
        <x:v>45933</x:v>
      </x:c>
      <x:c r="B106" t="s">
        <x:v>17</x:v>
      </x:c>
    </x:row>
    <x:row r="107">
      <x:c r="A107" s="13">
        <x:v>45935</x:v>
      </x:c>
      <x:c r="B107" t="s">
        <x:v>14</x:v>
      </x:c>
    </x:row>
    <x:row r="108">
      <x:c r="A108" s="13">
        <x:v>45936</x:v>
      </x:c>
      <x:c r="B108" t="s">
        <x:v>15</x:v>
      </x:c>
    </x:row>
    <x:row r="109">
      <x:c r="A109" s="13">
        <x:v>45937</x:v>
      </x:c>
      <x:c r="B109" t="s">
        <x:v>16</x:v>
      </x:c>
    </x:row>
    <x:row r="110">
      <x:c r="A110" s="13">
        <x:v>45938</x:v>
      </x:c>
      <x:c r="B110" t="s">
        <x:v>25</x:v>
      </x:c>
    </x:row>
    <x:row r="111">
      <x:c r="A111" s="13">
        <x:v>45939</x:v>
      </x:c>
      <x:c r="B111" t="s">
        <x:v>18</x:v>
      </x:c>
    </x:row>
    <x:row r="112">
      <x:c r="A112" s="13">
        <x:v>46016</x:v>
      </x:c>
      <x:c r="B112" t="s">
        <x:v>19</x:v>
      </x:c>
    </x:row>
    <x:row r="113">
      <x:c r="A113" s="13">
        <x:v>46023</x:v>
      </x:c>
      <x:c r="B113" t="s">
        <x:v>2</x:v>
      </x:c>
    </x:row>
    <x:row r="114">
      <x:c r="A114" s="13">
        <x:v>46069</x:v>
      </x:c>
      <x:c r="B114" t="s">
        <x:v>3</x:v>
      </x:c>
    </x:row>
    <x:row r="115">
      <x:c r="A115" s="13">
        <x:v>46070</x:v>
      </x:c>
      <x:c r="B115" t="s">
        <x:v>4</x:v>
      </x:c>
    </x:row>
    <x:row r="116">
      <x:c r="A116" s="13">
        <x:v>46071</x:v>
      </x:c>
      <x:c r="B116" t="s">
        <x:v>5</x:v>
      </x:c>
    </x:row>
    <x:row r="117">
      <x:c r="A117" s="13">
        <x:v>46082</x:v>
      </x:c>
      <x:c r="B117" t="s">
        <x:v>7</x:v>
      </x:c>
    </x:row>
    <x:row r="118">
      <x:c r="A118" s="13">
        <x:v>46083</x:v>
      </x:c>
      <x:c r="B118" t="s">
        <x:v>29</x:v>
      </x:c>
    </x:row>
    <x:row r="119">
      <x:c r="A119" s="13">
        <x:v>46147</x:v>
      </x:c>
      <x:c r="B119" t="s">
        <x:v>10</x:v>
      </x:c>
    </x:row>
    <x:row r="120">
      <x:c r="A120" s="13">
        <x:v>46166</x:v>
      </x:c>
      <x:c r="B120" t="s">
        <x:v>9</x:v>
      </x:c>
    </x:row>
    <x:row r="121">
      <x:c r="A121" s="13">
        <x:v>46167</x:v>
      </x:c>
      <x:c r="B121" t="s">
        <x:v>26</x:v>
      </x:c>
    </x:row>
    <x:row r="122">
      <x:c r="A122" s="13">
        <x:v>46176</x:v>
      </x:c>
      <x:c r="B122" t="s">
        <x:v>24</x:v>
      </x:c>
    </x:row>
    <x:row r="123">
      <x:c r="A123" s="13">
        <x:v>46179</x:v>
      </x:c>
      <x:c r="B123" t="s">
        <x:v>11</x:v>
      </x:c>
    </x:row>
    <x:row r="124">
      <x:c r="A124" s="13">
        <x:v>46220</x:v>
      </x:c>
      <x:c r="B124" t="s">
        <x:v>32</x:v>
      </x:c>
    </x:row>
    <x:row r="125">
      <x:c r="A125" s="13">
        <x:v>46249</x:v>
      </x:c>
      <x:c r="B125" t="s">
        <x:v>12</x:v>
      </x:c>
    </x:row>
    <x:row r="126">
      <x:c r="A126" s="13">
        <x:v>46251</x:v>
      </x:c>
      <x:c r="B126" t="s">
        <x:v>20</x:v>
      </x:c>
    </x:row>
    <x:row r="127">
      <x:c r="A127" s="13">
        <x:v>46289</x:v>
      </x:c>
      <x:c r="B127" t="s">
        <x:v>14</x:v>
      </x:c>
    </x:row>
    <x:row r="128">
      <x:c r="A128" s="13">
        <x:v>46290</x:v>
      </x:c>
      <x:c r="B128" t="s">
        <x:v>15</x:v>
      </x:c>
    </x:row>
    <x:row r="129">
      <x:c r="A129" s="13">
        <x:v>46291</x:v>
      </x:c>
      <x:c r="B129" t="s">
        <x:v>16</x:v>
      </x:c>
    </x:row>
    <x:row r="130">
      <x:c r="A130" s="13">
        <x:v>46298</x:v>
      </x:c>
      <x:c r="B130" t="s">
        <x:v>17</x:v>
      </x:c>
    </x:row>
    <x:row r="131">
      <x:c r="A131" s="13">
        <x:v>46300</x:v>
      </x:c>
      <x:c r="B131" t="s">
        <x:v>21</x:v>
      </x:c>
    </x:row>
    <x:row r="132">
      <x:c r="A132" s="13">
        <x:v>46304</x:v>
      </x:c>
      <x:c r="B132" t="s">
        <x:v>18</x:v>
      </x:c>
    </x:row>
    <x:row r="133">
      <x:c r="A133" s="13">
        <x:v>46381</x:v>
      </x:c>
      <x:c r="B133" t="s">
        <x:v>19</x:v>
      </x:c>
    </x:row>
    <x:row r="134">
      <x:c r="A134" s="13">
        <x:v>46388</x:v>
      </x:c>
      <x:c r="B134" t="s">
        <x:v>2</x:v>
      </x:c>
    </x:row>
    <x:row r="135">
      <x:c r="A135" s="13">
        <x:v>46424</x:v>
      </x:c>
      <x:c r="B135" t="s">
        <x:v>3</x:v>
      </x:c>
    </x:row>
    <x:row r="136">
      <x:c r="A136" s="13">
        <x:v>46425</x:v>
      </x:c>
      <x:c r="B136" t="s">
        <x:v>4</x:v>
      </x:c>
    </x:row>
    <x:row r="137">
      <x:c r="A137" s="13">
        <x:v>46426</x:v>
      </x:c>
      <x:c r="B137" t="s">
        <x:v>5</x:v>
      </x:c>
    </x:row>
    <x:row r="138">
      <x:c r="A138" s="13">
        <x:v>46427</x:v>
      </x:c>
      <x:c r="B138" t="s">
        <x:v>6</x:v>
      </x:c>
    </x:row>
    <x:row r="139">
      <x:c r="A139" s="13">
        <x:v>46447</x:v>
      </x:c>
      <x:c r="B139" t="s">
        <x:v>7</x:v>
      </x:c>
    </x:row>
    <x:row r="140">
      <x:c r="A140" s="13">
        <x:v>46512</x:v>
      </x:c>
      <x:c r="B140" t="s">
        <x:v>10</x:v>
      </x:c>
    </x:row>
    <x:row r="141">
      <x:c r="A141" s="13">
        <x:v>46520</x:v>
      </x:c>
      <x:c r="B141" t="s">
        <x:v>9</x:v>
      </x:c>
    </x:row>
    <x:row r="142">
      <x:c r="A142" s="13">
        <x:v>46544</x:v>
      </x:c>
      <x:c r="B142" t="s">
        <x:v>11</x:v>
      </x:c>
    </x:row>
    <x:row r="143">
      <x:c r="A143" s="13">
        <x:v>46585</x:v>
      </x:c>
      <x:c r="B143" t="s">
        <x:v>32</x:v>
      </x:c>
    </x:row>
    <x:row r="144">
      <x:c r="A144" s="13">
        <x:v>46614</x:v>
      </x:c>
      <x:c r="B144" t="s">
        <x:v>12</x:v>
      </x:c>
    </x:row>
    <x:row r="145">
      <x:c r="A145" s="13">
        <x:v>46615</x:v>
      </x:c>
      <x:c r="B145" t="s">
        <x:v>20</x:v>
      </x:c>
    </x:row>
    <x:row r="146">
      <x:c r="A146" s="13">
        <x:v>46644</x:v>
      </x:c>
      <x:c r="B146" t="s">
        <x:v>14</x:v>
      </x:c>
    </x:row>
    <x:row r="147">
      <x:c r="A147" s="13">
        <x:v>46645</x:v>
      </x:c>
      <x:c r="B147" t="s">
        <x:v>15</x:v>
      </x:c>
    </x:row>
    <x:row r="148">
      <x:c r="A148" s="13">
        <x:v>46646</x:v>
      </x:c>
      <x:c r="B148" t="s">
        <x:v>16</x:v>
      </x:c>
    </x:row>
    <x:row r="149">
      <x:c r="A149" s="13">
        <x:v>46663</x:v>
      </x:c>
      <x:c r="B149" t="s">
        <x:v>17</x:v>
      </x:c>
    </x:row>
    <x:row r="150">
      <x:c r="A150" s="13">
        <x:v>46664</x:v>
      </x:c>
      <x:c r="B150" t="s">
        <x:v>21</x:v>
      </x:c>
    </x:row>
    <x:row r="151">
      <x:c r="A151" s="13">
        <x:v>46669</x:v>
      </x:c>
      <x:c r="B151" t="s">
        <x:v>18</x:v>
      </x:c>
    </x:row>
    <x:row r="152">
      <x:c r="A152" s="13">
        <x:v>46671</x:v>
      </x:c>
      <x:c r="B152" t="s">
        <x:v>22</x:v>
      </x:c>
    </x:row>
    <x:row r="153">
      <x:c r="A153" s="13">
        <x:v>46746</x:v>
      </x:c>
      <x:c r="B153" t="s">
        <x:v>19</x:v>
      </x:c>
    </x:row>
    <x:row r="154">
      <x:c r="A154" s="13">
        <x:v>46748</x:v>
      </x:c>
      <x:c r="B154" t="s">
        <x:v>33</x:v>
      </x:c>
    </x:row>
    <x:row r="155">
      <x:c r="A155" s="13">
        <x:v>46753</x:v>
      </x:c>
      <x:c r="B155" t="s">
        <x:v>2</x:v>
      </x:c>
    </x:row>
    <x:row r="156">
      <x:c r="A156" s="13">
        <x:v>46778</x:v>
      </x:c>
      <x:c r="B156" t="s">
        <x:v>3</x:v>
      </x:c>
    </x:row>
    <x:row r="157">
      <x:c r="A157" s="13">
        <x:v>46779</x:v>
      </x:c>
      <x:c r="B157" t="s">
        <x:v>4</x:v>
      </x:c>
    </x:row>
    <x:row r="158">
      <x:c r="A158" s="13">
        <x:v>46780</x:v>
      </x:c>
      <x:c r="B158" t="s">
        <x:v>5</x:v>
      </x:c>
    </x:row>
    <x:row r="159">
      <x:c r="A159" s="13">
        <x:v>46813</x:v>
      </x:c>
      <x:c r="B159" t="s">
        <x:v>7</x:v>
      </x:c>
    </x:row>
    <x:row r="160">
      <x:c r="A160" s="13">
        <x:v>46855</x:v>
      </x:c>
      <x:c r="B160" t="s">
        <x:v>8</x:v>
      </x:c>
    </x:row>
    <x:row r="161">
      <x:c r="A161" s="13">
        <x:v>46875</x:v>
      </x:c>
      <x:c r="B161" t="s">
        <x:v>9</x:v>
      </x:c>
    </x:row>
    <x:row r="162">
      <x:c r="A162" s="13">
        <x:v>46878</x:v>
      </x:c>
      <x:c r="B162" t="s">
        <x:v>10</x:v>
      </x:c>
    </x:row>
    <x:row r="163">
      <x:c r="A163" s="13">
        <x:v>46910</x:v>
      </x:c>
      <x:c r="B163" t="s">
        <x:v>11</x:v>
      </x:c>
    </x:row>
    <x:row r="164">
      <x:c r="A164" s="13">
        <x:v>46951</x:v>
      </x:c>
      <x:c r="B164" t="s">
        <x:v>32</x:v>
      </x:c>
    </x:row>
    <x:row r="165">
      <x:c r="A165" s="13">
        <x:v>46980</x:v>
      </x:c>
      <x:c r="B165" t="s">
        <x:v>12</x:v>
      </x:c>
    </x:row>
    <x:row r="166">
      <x:c r="A166" s="13">
        <x:v>47028</x:v>
      </x:c>
      <x:c r="B166" t="s">
        <x:v>14</x:v>
      </x:c>
    </x:row>
    <x:row r="167">
      <x:c r="A167" s="13">
        <x:v>47029</x:v>
      </x:c>
      <x:c r="B167" t="s">
        <x:v>34</x:v>
      </x:c>
    </x:row>
    <x:row r="168">
      <x:c r="A168" s="13">
        <x:v>47030</x:v>
      </x:c>
      <x:c r="B168" t="s">
        <x:v>16</x:v>
      </x:c>
    </x:row>
    <x:row r="169">
      <x:c r="A169" s="13">
        <x:v>47031</x:v>
      </x:c>
      <x:c r="B169" t="s">
        <x:v>25</x:v>
      </x:c>
    </x:row>
    <x:row r="170">
      <x:c r="A170" s="13">
        <x:v>47035</x:v>
      </x:c>
      <x:c r="B170" t="s">
        <x:v>18</x:v>
      </x:c>
    </x:row>
    <x:row r="171">
      <x:c r="A171" s="13">
        <x:v>47112</x:v>
      </x:c>
      <x:c r="B171" t="s">
        <x:v>19</x:v>
      </x:c>
    </x:row>
    <x:row r="172">
      <x:c r="A172" s="13">
        <x:v>47119</x:v>
      </x:c>
      <x:c r="B172" t="s">
        <x:v>2</x:v>
      </x:c>
    </x:row>
    <x:row r="173">
      <x:c r="A173" s="13">
        <x:v>47161</x:v>
      </x:c>
      <x:c r="B173" t="s">
        <x:v>3</x:v>
      </x:c>
    </x:row>
    <x:row r="174">
      <x:c r="A174" s="13">
        <x:v>47162</x:v>
      </x:c>
      <x:c r="B174" t="s">
        <x:v>4</x:v>
      </x:c>
    </x:row>
    <x:row r="175">
      <x:c r="A175" s="13">
        <x:v>47163</x:v>
      </x:c>
      <x:c r="B175" t="s">
        <x:v>5</x:v>
      </x:c>
    </x:row>
    <x:row r="176">
      <x:c r="A176" s="13">
        <x:v>47178</x:v>
      </x:c>
      <x:c r="B176" t="s">
        <x:v>7</x:v>
      </x:c>
    </x:row>
    <x:row r="177">
      <x:c r="A177" s="13">
        <x:v>47243</x:v>
      </x:c>
      <x:c r="B177" t="s">
        <x:v>10</x:v>
      </x:c>
    </x:row>
    <x:row r="178">
      <x:c r="A178" s="13">
        <x:v>47245</x:v>
      </x:c>
      <x:c r="B178" t="s">
        <x:v>27</x:v>
      </x:c>
    </x:row>
    <x:row r="179">
      <x:c r="A179" s="13">
        <x:v>47258</x:v>
      </x:c>
      <x:c r="B179" t="s">
        <x:v>9</x:v>
      </x:c>
    </x:row>
    <x:row r="180">
      <x:c r="A180" s="13">
        <x:v>47259</x:v>
      </x:c>
      <x:c r="B180" t="s">
        <x:v>26</x:v>
      </x:c>
    </x:row>
    <x:row r="181">
      <x:c r="A181" s="13">
        <x:v>47275</x:v>
      </x:c>
      <x:c r="B181" t="s">
        <x:v>11</x:v>
      </x:c>
    </x:row>
    <x:row r="182">
      <x:c r="A182" s="13">
        <x:v>47316</x:v>
      </x:c>
      <x:c r="B182" t="s">
        <x:v>32</x:v>
      </x:c>
    </x:row>
    <x:row r="183">
      <x:c r="A183" s="13">
        <x:v>47345</x:v>
      </x:c>
      <x:c r="B183" t="s">
        <x:v>12</x:v>
      </x:c>
    </x:row>
    <x:row r="184">
      <x:c r="A184" s="13">
        <x:v>47382</x:v>
      </x:c>
      <x:c r="B184" t="s">
        <x:v>14</x:v>
      </x:c>
    </x:row>
    <x:row r="185">
      <x:c r="A185" s="13">
        <x:v>47383</x:v>
      </x:c>
      <x:c r="B185" t="s">
        <x:v>15</x:v>
      </x:c>
    </x:row>
    <x:row r="186">
      <x:c r="A186" s="13">
        <x:v>47384</x:v>
      </x:c>
      <x:c r="B186" t="s">
        <x:v>16</x:v>
      </x:c>
    </x:row>
    <x:row r="187">
      <x:c r="A187" s="13">
        <x:v>47385</x:v>
      </x:c>
      <x:c r="B187" t="s">
        <x:v>25</x:v>
      </x:c>
    </x:row>
    <x:row r="188">
      <x:c r="A188" s="13">
        <x:v>47394</x:v>
      </x:c>
      <x:c r="B188" t="s">
        <x:v>17</x:v>
      </x:c>
    </x:row>
    <x:row r="189">
      <x:c r="A189" s="13">
        <x:v>47400</x:v>
      </x:c>
      <x:c r="B189" t="s">
        <x:v>18</x:v>
      </x:c>
    </x:row>
    <x:row r="190">
      <x:c r="A190" s="13">
        <x:v>47477</x:v>
      </x:c>
      <x:c r="B190" t="s">
        <x:v>19</x:v>
      </x:c>
    </x:row>
    <x:row r="191">
      <x:c r="A191" s="13">
        <x:v>47484</x:v>
      </x:c>
      <x:c r="B191" t="s">
        <x:v>2</x:v>
      </x:c>
    </x:row>
    <x:row r="192">
      <x:c r="A192" s="13">
        <x:v>47516</x:v>
      </x:c>
      <x:c r="B192" t="s">
        <x:v>3</x:v>
      </x:c>
    </x:row>
    <x:row r="193">
      <x:c r="A193" s="13">
        <x:v>47517</x:v>
      </x:c>
      <x:c r="B193" t="s">
        <x:v>4</x:v>
      </x:c>
    </x:row>
    <x:row r="194">
      <x:c r="A194" s="13">
        <x:v>47518</x:v>
      </x:c>
      <x:c r="B194" t="s">
        <x:v>5</x:v>
      </x:c>
    </x:row>
    <x:row r="195">
      <x:c r="A195" s="13">
        <x:v>47519</x:v>
      </x:c>
      <x:c r="B195" t="s">
        <x:v>6</x:v>
      </x:c>
    </x:row>
    <x:row r="196">
      <x:c r="A196" s="13">
        <x:v>47543</x:v>
      </x:c>
      <x:c r="B196" t="s">
        <x:v>7</x:v>
      </x:c>
    </x:row>
    <x:row r="197">
      <x:c r="A197" s="13">
        <x:v>47576</x:v>
      </x:c>
      <x:c r="B197" t="s">
        <x:v>23</x:v>
      </x:c>
    </x:row>
    <x:row r="198">
      <x:c r="A198" s="13">
        <x:v>47608</x:v>
      </x:c>
      <x:c r="B198" t="s">
        <x:v>10</x:v>
      </x:c>
    </x:row>
    <x:row r="199">
      <x:c r="A199" s="13">
        <x:v>47609</x:v>
      </x:c>
      <x:c r="B199" t="s">
        <x:v>27</x:v>
      </x:c>
    </x:row>
    <x:row r="200">
      <x:c r="A200" s="13">
        <x:v>47612</x:v>
      </x:c>
      <x:c r="B200" t="s">
        <x:v>9</x:v>
      </x:c>
    </x:row>
    <x:row r="201">
      <x:c r="A201" s="13">
        <x:v>47640</x:v>
      </x:c>
      <x:c r="B201" t="s">
        <x:v>11</x:v>
      </x:c>
    </x:row>
    <x:row r="202">
      <x:c r="A202" s="13">
        <x:v>47646</x:v>
      </x:c>
      <x:c r="B202" t="s">
        <x:v>24</x:v>
      </x:c>
    </x:row>
    <x:row r="203">
      <x:c r="A203" s="13">
        <x:v>47681</x:v>
      </x:c>
      <x:c r="B203" t="s">
        <x:v>32</x:v>
      </x:c>
    </x:row>
    <x:row r="204">
      <x:c r="A204" s="13">
        <x:v>47710</x:v>
      </x:c>
      <x:c r="B204" t="s">
        <x:v>12</x:v>
      </x:c>
    </x:row>
    <x:row r="205">
      <x:c r="A205" s="13">
        <x:v>47737</x:v>
      </x:c>
      <x:c r="B205" t="s">
        <x:v>14</x:v>
      </x:c>
    </x:row>
    <x:row r="206">
      <x:c r="A206" s="13">
        <x:v>47738</x:v>
      </x:c>
      <x:c r="B206" t="s">
        <x:v>15</x:v>
      </x:c>
    </x:row>
    <x:row r="207">
      <x:c r="A207" s="13">
        <x:v>47739</x:v>
      </x:c>
      <x:c r="B207" t="s">
        <x:v>16</x:v>
      </x:c>
    </x:row>
    <x:row r="208">
      <x:c r="A208" s="13">
        <x:v>47759</x:v>
      </x:c>
      <x:c r="B208" t="s">
        <x:v>17</x:v>
      </x:c>
    </x:row>
    <x:row r="209">
      <x:c r="A209" s="13">
        <x:v>47765</x:v>
      </x:c>
      <x:c r="B209" t="s">
        <x:v>18</x:v>
      </x:c>
    </x:row>
    <x:row r="210">
      <x:c r="A210" s="13">
        <x:v>47842</x:v>
      </x:c>
      <x:c r="B210" t="s">
        <x:v>19</x:v>
      </x:c>
    </x:row>
    <x:row r="211">
      <x:c r="A211" s="13">
        <x:v>47849</x:v>
      </x:c>
      <x:c r="B211" t="s">
        <x:v>2</x:v>
      </x:c>
    </x:row>
    <x:row r="212">
      <x:c r="A212" s="13">
        <x:v>47870</x:v>
      </x:c>
      <x:c r="B212" t="s">
        <x:v>3</x:v>
      </x:c>
    </x:row>
    <x:row r="213">
      <x:c r="A213" s="13">
        <x:v>47871</x:v>
      </x:c>
      <x:c r="B213" t="s">
        <x:v>4</x:v>
      </x:c>
    </x:row>
    <x:row r="214">
      <x:c r="A214" s="13">
        <x:v>47872</x:v>
      </x:c>
      <x:c r="B214" t="s">
        <x:v>5</x:v>
      </x:c>
    </x:row>
    <x:row r="215">
      <x:c r="A215" s="13">
        <x:v>47908</x:v>
      </x:c>
      <x:c r="B215" t="s">
        <x:v>7</x:v>
      </x:c>
    </x:row>
    <x:row r="216">
      <x:c r="A216" s="13">
        <x:v>47910</x:v>
      </x:c>
      <x:c r="B216" t="s">
        <x:v>29</x:v>
      </x:c>
    </x:row>
    <x:row r="217">
      <x:c r="A217" s="13">
        <x:v>47973</x:v>
      </x:c>
      <x:c r="B217" t="s">
        <x:v>10</x:v>
      </x:c>
    </x:row>
    <x:row r="218">
      <x:c r="A218" s="13">
        <x:v>47996</x:v>
      </x:c>
      <x:c r="B218" t="s">
        <x:v>9</x:v>
      </x:c>
    </x:row>
    <x:row r="219">
      <x:c r="A219" s="13">
        <x:v>48005</x:v>
      </x:c>
      <x:c r="B219" t="s">
        <x:v>11</x:v>
      </x:c>
    </x:row>
    <x:row r="220">
      <x:c r="A220" s="13">
        <x:v>48046</x:v>
      </x:c>
      <x:c r="B220" t="s">
        <x:v>32</x:v>
      </x:c>
    </x:row>
    <x:row r="221">
      <x:c r="A221" s="13">
        <x:v>48075</x:v>
      </x:c>
      <x:c r="B221" t="s">
        <x:v>12</x:v>
      </x:c>
    </x:row>
    <x:row r="222">
      <x:c r="A222" s="13">
        <x:v>48121</x:v>
      </x:c>
      <x:c r="B222" t="s">
        <x:v>14</x:v>
      </x:c>
    </x:row>
    <x:row r="223">
      <x:c r="A223" s="13">
        <x:v>48122</x:v>
      </x:c>
      <x:c r="B223" t="s">
        <x:v>15</x:v>
      </x:c>
    </x:row>
    <x:row r="224">
      <x:c r="A224" s="13">
        <x:v>48123</x:v>
      </x:c>
      <x:c r="B224" t="s">
        <x:v>16</x:v>
      </x:c>
    </x:row>
    <x:row r="225">
      <x:c r="A225" s="13">
        <x:v>48124</x:v>
      </x:c>
      <x:c r="B225" t="s">
        <x:v>17</x:v>
      </x:c>
    </x:row>
    <x:row r="226">
      <x:c r="A226" s="13">
        <x:v>48130</x:v>
      </x:c>
      <x:c r="B226" t="s">
        <x:v>18</x:v>
      </x:c>
    </x:row>
    <x:row r="227">
      <x:c r="A227" s="13">
        <x:v>48207</x:v>
      </x:c>
      <x:c r="B227" t="s">
        <x:v>19</x:v>
      </x:c>
    </x:row>
    <x:row r="228">
      <x:c r="A228" s="13">
        <x:v>48214</x:v>
      </x:c>
      <x:c r="B228" t="s">
        <x:v>2</x:v>
      </x:c>
    </x:row>
    <x:row r="229">
      <x:c r="A229" s="13">
        <x:v>48254</x:v>
      </x:c>
      <x:c r="B229" t="s">
        <x:v>3</x:v>
      </x:c>
    </x:row>
    <x:row r="230">
      <x:c r="A230" s="13">
        <x:v>48255</x:v>
      </x:c>
      <x:c r="B230" t="s">
        <x:v>4</x:v>
      </x:c>
    </x:row>
    <x:row r="231">
      <x:c r="A231" s="13">
        <x:v>48256</x:v>
      </x:c>
      <x:c r="B231" t="s">
        <x:v>5</x:v>
      </x:c>
    </x:row>
    <x:row r="232">
      <x:c r="A232" s="13">
        <x:v>48274</x:v>
      </x:c>
      <x:c r="B232" t="s">
        <x:v>7</x:v>
      </x:c>
    </x:row>
    <x:row r="233">
      <x:c r="A233" s="13">
        <x:v>48318</x:v>
      </x:c>
      <x:c r="B233" t="s">
        <x:v>8</x:v>
      </x:c>
    </x:row>
    <x:row r="234">
      <x:c r="A234" s="13">
        <x:v>48339</x:v>
      </x:c>
      <x:c r="B234" t="s">
        <x:v>10</x:v>
      </x:c>
    </x:row>
    <x:row r="235">
      <x:c r="A235" s="13">
        <x:v>48350</x:v>
      </x:c>
      <x:c r="B235" t="s">
        <x:v>9</x:v>
      </x:c>
    </x:row>
    <x:row r="236">
      <x:c r="A236" s="13">
        <x:v>48351</x:v>
      </x:c>
      <x:c r="B236" t="s">
        <x:v>26</x:v>
      </x:c>
    </x:row>
    <x:row r="237">
      <x:c r="A237" s="13">
        <x:v>48371</x:v>
      </x:c>
      <x:c r="B237" t="s">
        <x:v>11</x:v>
      </x:c>
    </x:row>
    <x:row r="238">
      <x:c r="A238" s="13">
        <x:v>48412</x:v>
      </x:c>
      <x:c r="B238" t="s">
        <x:v>32</x:v>
      </x:c>
    </x:row>
    <x:row r="239">
      <x:c r="A239" s="13">
        <x:v>48441</x:v>
      </x:c>
      <x:c r="B239" t="s">
        <x:v>12</x:v>
      </x:c>
    </x:row>
    <x:row r="240">
      <x:c r="A240" s="13">
        <x:v>48442</x:v>
      </x:c>
      <x:c r="B240" t="s">
        <x:v>20</x:v>
      </x:c>
    </x:row>
    <x:row r="241">
      <x:c r="A241" s="13">
        <x:v>48475</x:v>
      </x:c>
      <x:c r="B241" t="s">
        <x:v>14</x:v>
      </x:c>
    </x:row>
    <x:row r="242">
      <x:c r="A242" s="13">
        <x:v>48476</x:v>
      </x:c>
      <x:c r="B242" t="s">
        <x:v>15</x:v>
      </x:c>
    </x:row>
    <x:row r="243">
      <x:c r="A243" s="13">
        <x:v>48477</x:v>
      </x:c>
      <x:c r="B243" t="s">
        <x:v>16</x:v>
      </x:c>
    </x:row>
    <x:row r="244">
      <x:c r="A244" s="13">
        <x:v>48478</x:v>
      </x:c>
      <x:c r="B244" t="s">
        <x:v>25</x:v>
      </x:c>
    </x:row>
    <x:row r="245">
      <x:c r="A245" s="13">
        <x:v>48490</x:v>
      </x:c>
      <x:c r="B245" t="s">
        <x:v>17</x:v>
      </x:c>
    </x:row>
    <x:row r="246">
      <x:c r="A246" s="13">
        <x:v>48491</x:v>
      </x:c>
      <x:c r="B246" t="s">
        <x:v>21</x:v>
      </x:c>
    </x:row>
    <x:row r="247">
      <x:c r="A247" s="13">
        <x:v>48496</x:v>
      </x:c>
      <x:c r="B247" t="s">
        <x:v>18</x:v>
      </x:c>
    </x:row>
    <x:row r="248">
      <x:c r="A248" s="13">
        <x:v>48498</x:v>
      </x:c>
      <x:c r="B248" t="s">
        <x:v>22</x:v>
      </x:c>
    </x:row>
    <x:row r="249">
      <x:c r="A249" s="13">
        <x:v>48573</x:v>
      </x:c>
      <x:c r="B249" t="s">
        <x:v>19</x:v>
      </x:c>
    </x:row>
    <x:row r="250">
      <x:c r="A250" s="13">
        <x:v>48575</x:v>
      </x:c>
      <x:c r="B250" t="s">
        <x:v>33</x:v>
      </x:c>
    </x:row>
    <x:row r="251">
      <x:c r="A251" s="13">
        <x:v>48580</x:v>
      </x:c>
      <x:c r="B251" t="s">
        <x:v>2</x:v>
      </x:c>
    </x:row>
    <x:row r="252">
      <x:c r="A252" s="13">
        <x:v>48609</x:v>
      </x:c>
      <x:c r="B252" t="s">
        <x:v>3</x:v>
      </x:c>
    </x:row>
    <x:row r="253">
      <x:c r="A253" s="13">
        <x:v>48610</x:v>
      </x:c>
      <x:c r="B253" t="s">
        <x:v>4</x:v>
      </x:c>
    </x:row>
    <x:row r="254">
      <x:c r="A254" s="13">
        <x:v>48611</x:v>
      </x:c>
      <x:c r="B254" t="s">
        <x:v>5</x:v>
      </x:c>
    </x:row>
    <x:row r="255">
      <x:c r="A255" s="13">
        <x:v>48612</x:v>
      </x:c>
      <x:c r="B255" t="s">
        <x:v>6</x:v>
      </x:c>
    </x:row>
    <x:row r="256">
      <x:c r="A256" s="13">
        <x:v>48639</x:v>
      </x:c>
      <x:c r="B256" t="s">
        <x:v>7</x:v>
      </x:c>
    </x:row>
    <x:row r="257">
      <x:c r="A257" s="13">
        <x:v>48704</x:v>
      </x:c>
      <x:c r="B257" t="s">
        <x:v>10</x:v>
      </x:c>
    </x:row>
    <x:row r="258">
      <x:c r="A258" s="13">
        <x:v>48705</x:v>
      </x:c>
      <x:c r="B258" t="s">
        <x:v>9</x:v>
      </x:c>
    </x:row>
    <x:row r="259">
      <x:c r="A259" s="13">
        <x:v>48736</x:v>
      </x:c>
      <x:c r="B259" t="s">
        <x:v>11</x:v>
      </x:c>
    </x:row>
    <x:row r="260">
      <x:c r="A260" s="13">
        <x:v>48777</x:v>
      </x:c>
      <x:c r="B260" t="s">
        <x:v>32</x:v>
      </x:c>
    </x:row>
    <x:row r="261">
      <x:c r="A261" s="13">
        <x:v>48806</x:v>
      </x:c>
      <x:c r="B261" t="s">
        <x:v>12</x:v>
      </x:c>
    </x:row>
    <x:row r="262">
      <x:c r="A262" s="13">
        <x:v>48829</x:v>
      </x:c>
      <x:c r="B262" t="s">
        <x:v>14</x:v>
      </x:c>
    </x:row>
    <x:row r="263">
      <x:c r="A263" s="13">
        <x:v>48830</x:v>
      </x:c>
      <x:c r="B263" t="s">
        <x:v>15</x:v>
      </x:c>
    </x:row>
    <x:row r="264">
      <x:c r="A264" s="13">
        <x:v>48831</x:v>
      </x:c>
      <x:c r="B264" t="s">
        <x:v>16</x:v>
      </x:c>
    </x:row>
    <x:row r="265">
      <x:c r="A265" s="13">
        <x:v>48855</x:v>
      </x:c>
      <x:c r="B265" t="s">
        <x:v>17</x:v>
      </x:c>
    </x:row>
    <x:row r="266">
      <x:c r="A266" s="13">
        <x:v>48861</x:v>
      </x:c>
      <x:c r="B266" t="s">
        <x:v>18</x:v>
      </x:c>
    </x:row>
    <x:row r="267">
      <x:c r="A267" s="13">
        <x:v>48862</x:v>
      </x:c>
      <x:c r="B267" t="s">
        <x:v>22</x:v>
      </x:c>
    </x:row>
    <x:row r="268">
      <x:c r="A268" s="13">
        <x:v>48938</x:v>
      </x:c>
      <x:c r="B268" t="s">
        <x:v>19</x:v>
      </x:c>
    </x:row>
    <x:row r="269">
      <x:c r="A269" s="13">
        <x:v>48939</x:v>
      </x:c>
      <x:c r="B269" t="s">
        <x:v>33</x:v>
      </x:c>
    </x:row>
    <x:row r="270">
      <x:c r="A270" s="13">
        <x:v>48945</x:v>
      </x:c>
      <x:c r="B270" t="s">
        <x:v>2</x:v>
      </x:c>
    </x:row>
    <x:row r="271">
      <x:c r="A271" s="13">
        <x:v>48993</x:v>
      </x:c>
      <x:c r="B271" t="s">
        <x:v>3</x:v>
      </x:c>
    </x:row>
    <x:row r="272">
      <x:c r="A272" s="13">
        <x:v>48994</x:v>
      </x:c>
      <x:c r="B272" t="s">
        <x:v>4</x:v>
      </x:c>
    </x:row>
    <x:row r="273">
      <x:c r="A273" s="13">
        <x:v>48995</x:v>
      </x:c>
      <x:c r="B273" t="s">
        <x:v>5</x:v>
      </x:c>
    </x:row>
    <x:row r="274">
      <x:c r="A274" s="13">
        <x:v>48996</x:v>
      </x:c>
      <x:c r="B274" t="s">
        <x:v>6</x:v>
      </x:c>
    </x:row>
    <x:row r="275">
      <x:c r="A275" s="13">
        <x:v>49004</x:v>
      </x:c>
      <x:c r="B275" t="s">
        <x:v>7</x:v>
      </x:c>
    </x:row>
    <x:row r="276">
      <x:c r="A276" s="13">
        <x:v>49069</x:v>
      </x:c>
      <x:c r="B276" t="s">
        <x:v>10</x:v>
      </x:c>
    </x:row>
    <x:row r="277">
      <x:c r="A277" s="13">
        <x:v>49089</x:v>
      </x:c>
      <x:c r="B277" t="s">
        <x:v>9</x:v>
      </x:c>
    </x:row>
    <x:row r="278">
      <x:c r="A278" s="13">
        <x:v>49101</x:v>
      </x:c>
      <x:c r="B278" t="s">
        <x:v>11</x:v>
      </x:c>
    </x:row>
    <x:row r="279">
      <x:c r="A279" s="13">
        <x:v>49109</x:v>
      </x:c>
      <x:c r="B279" t="s">
        <x:v>24</x:v>
      </x:c>
    </x:row>
    <x:row r="280">
      <x:c r="A280" s="13">
        <x:v>49142</x:v>
      </x:c>
      <x:c r="B280" t="s">
        <x:v>32</x:v>
      </x:c>
    </x:row>
    <x:row r="281">
      <x:c r="A281" s="13">
        <x:v>49171</x:v>
      </x:c>
      <x:c r="B281" t="s">
        <x:v>12</x:v>
      </x:c>
    </x:row>
    <x:row r="282">
      <x:c r="A282" s="13">
        <x:v>49213</x:v>
      </x:c>
      <x:c r="B282" t="s">
        <x:v>14</x:v>
      </x:c>
    </x:row>
    <x:row r="283">
      <x:c r="A283" s="13">
        <x:v>49214</x:v>
      </x:c>
      <x:c r="B283" t="s">
        <x:v>15</x:v>
      </x:c>
    </x:row>
    <x:row r="284">
      <x:c r="A284" s="13">
        <x:v>49215</x:v>
      </x:c>
      <x:c r="B284" t="s">
        <x:v>16</x:v>
      </x:c>
    </x:row>
    <x:row r="285">
      <x:c r="A285" s="13">
        <x:v>49220</x:v>
      </x:c>
      <x:c r="B285" t="s">
        <x:v>17</x:v>
      </x:c>
    </x:row>
    <x:row r="286">
      <x:c r="A286" s="13">
        <x:v>49226</x:v>
      </x:c>
      <x:c r="B286" t="s">
        <x:v>18</x:v>
      </x:c>
    </x:row>
    <x:row r="287">
      <x:c r="A287" s="13">
        <x:v>49303</x:v>
      </x:c>
      <x:c r="B287" t="s">
        <x:v>19</x:v>
      </x:c>
    </x:row>
    <x:row r="288">
      <x:c r="A288" s="13">
        <x:v>49310</x:v>
      </x:c>
      <x:c r="B288" t="s">
        <x:v>2</x:v>
      </x:c>
    </x:row>
    <x:row r="289">
      <x:c r="A289" s="13">
        <x:v>49347</x:v>
      </x:c>
      <x:c r="B289" t="s">
        <x:v>3</x:v>
      </x:c>
    </x:row>
    <x:row r="290">
      <x:c r="A290" s="13">
        <x:v>49348</x:v>
      </x:c>
      <x:c r="B290" t="s">
        <x:v>4</x:v>
      </x:c>
    </x:row>
    <x:row r="291">
      <x:c r="A291" s="13">
        <x:v>49349</x:v>
      </x:c>
      <x:c r="B291" t="s">
        <x:v>5</x:v>
      </x:c>
    </x:row>
    <x:row r="292">
      <x:c r="A292" s="13">
        <x:v>49369</x:v>
      </x:c>
      <x:c r="B292" t="s">
        <x:v>7</x:v>
      </x:c>
    </x:row>
    <x:row r="293">
      <x:c r="A293" s="13">
        <x:v>49403</x:v>
      </x:c>
      <x:c r="B293" t="s">
        <x:v>23</x:v>
      </x:c>
    </x:row>
    <x:row r="294">
      <x:c r="A294" s="13">
        <x:v>49434</x:v>
      </x:c>
      <x:c r="B294" t="s">
        <x:v>10</x:v>
      </x:c>
    </x:row>
    <x:row r="295">
      <x:c r="A295" s="13">
        <x:v>49436</x:v>
      </x:c>
      <x:c r="B295" t="s">
        <x:v>27</x:v>
      </x:c>
    </x:row>
    <x:row r="296">
      <x:c r="A296" s="13">
        <x:v>49444</x:v>
      </x:c>
      <x:c r="B296" t="s">
        <x:v>9</x:v>
      </x:c>
    </x:row>
    <x:row r="297">
      <x:c r="A297" s="13">
        <x:v>49466</x:v>
      </x:c>
      <x:c r="B297" t="s">
        <x:v>11</x:v>
      </x:c>
    </x:row>
    <x:row r="298">
      <x:c r="A298" s="13">
        <x:v>49507</x:v>
      </x:c>
      <x:c r="B298" t="s">
        <x:v>32</x:v>
      </x:c>
    </x:row>
    <x:row r="299">
      <x:c r="A299" s="13">
        <x:v>49536</x:v>
      </x:c>
      <x:c r="B299" t="s">
        <x:v>12</x:v>
      </x:c>
    </x:row>
    <x:row r="300">
      <x:c r="A300" s="13">
        <x:v>49567</x:v>
      </x:c>
      <x:c r="B300" t="s">
        <x:v>14</x:v>
      </x:c>
    </x:row>
    <x:row r="301">
      <x:c r="A301" s="13">
        <x:v>49568</x:v>
      </x:c>
      <x:c r="B301" t="s">
        <x:v>15</x:v>
      </x:c>
    </x:row>
    <x:row r="302">
      <x:c r="A302" s="13">
        <x:v>49569</x:v>
      </x:c>
      <x:c r="B302" t="s">
        <x:v>16</x:v>
      </x:c>
    </x:row>
    <x:row r="303">
      <x:c r="A303" s="13">
        <x:v>49570</x:v>
      </x:c>
      <x:c r="B303" t="s">
        <x:v>25</x:v>
      </x:c>
    </x:row>
    <x:row r="304">
      <x:c r="A304" s="13">
        <x:v>49585</x:v>
      </x:c>
      <x:c r="B304" t="s">
        <x:v>17</x:v>
      </x:c>
    </x:row>
    <x:row r="305">
      <x:c r="A305" s="13">
        <x:v>49591</x:v>
      </x:c>
      <x:c r="B305" t="s">
        <x:v>18</x:v>
      </x:c>
    </x:row>
    <x:row r="306">
      <x:c r="A306" s="13">
        <x:v>49668</x:v>
      </x:c>
      <x:c r="B306" t="s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8" width="26.625" style="8" customWidth="1"/>
    <x:col min="9" max="9" width="54" style="8" customWidth="1"/>
    <x:col min="10" max="10" width="14" hidden="0" customWidth="1"/>
    <x:col min="11" max="11" width="24" hidden="0" customWidth="1"/>
    <x:col min="12" max="12" width="32" hidden="0" customWidth="1"/>
    <x:col min="13" max="13" width="13" hidden="0" customWidth="1"/>
    <x:col min="14" max="14" width="12" hidden="0" customWidth="1"/>
    <x:col min="15" max="15" width="18" hidden="0" customWidth="1"/>
    <x:col min="16" max="16" width="18" hidden="0" customWidth="1"/>
    <x:col min="17" max="17" width="18" hidden="0" customWidth="1"/>
    <x:col min="19" max="19" width="14" hidden="0" customWidth="1"/>
    <x:col min="20" max="20" width="11" hidden="0" customWidth="1"/>
    <x:col min="18" max="18" width="9" hidden="0" customWidth="1"/>
    <x:col min="21" max="21" width="14" hidden="0" customWidth="1"/>
    <x:col min="22" max="22" width="4" hidden="0" customWidth="1"/>
    <x:col min="23" max="23" width="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2" customHeight="1">
      <x:c r="G1" s="9">
        <x:v>2026</x:v>
      </x:c>
      <x:c r="H1" s="10">
        <x:v>8</x:v>
      </x:c>
      <x:c r="I1" s="7" t="s">
        <x:v>35</x:v>
      </x:c>
      <x:c r="J1" s="25" t="str">
        <x:v>Cellendar 간편 일정 입력</x:v>
      </x:c>
      <x:c r="K1" s="25"/>
      <x:c r="L1" s="25"/>
      <x:c r="M1" s="25"/>
      <x:c r="N1" s="25"/>
      <x:c r="O1" s="25"/>
      <x:c r="P1" s="25"/>
      <x:c r="Q1" s="25"/>
      <x:c r="S1" s="43" t="str">
        <x:v>자동 날짜 목록</x:v>
      </x:c>
      <x:c r="T1" s="43" t="str">
        <x:v>색상 목록</x:v>
      </x:c>
      <x:c r="V1" s="45" t="str">
        <x:v>달력 실제 날짜</x:v>
      </x:c>
      <x:c r="W1" s="45" t="str">
        <x:v>공휴일명</x:v>
      </x:c>
    </x:row>
    <x:row r="2" ht="26" customHeight="1">
      <x:c r="B2" s="4" t="s">
        <x:v>36</x:v>
      </x:c>
      <x:c r="C2" s="5" t="s">
        <x:v>37</x:v>
      </x:c>
      <x:c r="D2" s="5" t="s">
        <x:v>38</x:v>
      </x:c>
      <x:c r="E2" s="5" t="s">
        <x:v>39</x:v>
      </x:c>
      <x:c r="F2" s="5" t="s">
        <x:v>40</x:v>
      </x:c>
      <x:c r="G2" s="5" t="s">
        <x:v>41</x:v>
      </x:c>
      <x:c r="H2" s="6" t="s">
        <x:v>42</x:v>
      </x:c>
      <x:c r="I2" s="3" t="s">
        <x:v>43</x:v>
      </x:c>
      <x:c r="J2" s="27" t="str">
        <x:v>노란 칸만 입력하세요. 날짜와 색상은 목록에서 선택할 수 있습니다.</x:v>
      </x:c>
      <x:c r="K2" s="27"/>
      <x:c r="L2" s="27"/>
      <x:c r="M2" s="27"/>
      <x:c r="N2" s="27"/>
      <x:c r="O2" s="27"/>
      <x:c r="P2" s="27"/>
      <x:c r="Q2" s="27"/>
      <x:c r="S2" s="44" t="n">
        <x:f>IF(1&lt;=DAY(EOMONTH(DATE($G$1,$H$1,1),0)),DATE($G$1,$H$1,1),"")</x:f>
        <x:v>46235</x:v>
      </x:c>
      <x:c r="T2" s="43" t="str">
        <x:v>파랑</x:v>
      </x:c>
      <x:c r="V2" s="46" t="n">
        <x:f>DATE($G$1,$H$1,1)-WEEKDAY(DATE($G$1,$H$1,1),1)+1+0</x:f>
        <x:v>46229</x:v>
      </x:c>
      <x:c r="W2" s="45" t="str">
        <x:f>IFERROR(INDEX('공휴일'!$B$2:$B$306,MATCH(V2,'공휴일'!$A$2:$A$306,0)),"")</x:f>
      </x:c>
    </x:row>
    <x:row r="3" ht="22" customHeight="1">
      <x:c r="B3" s="47" t="str">
        <x:f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26</x:v>
      </x:c>
      <x:c r="C3" s="48" t="str">
        <x:f t="shared" ref="C3:H3" si="0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27</x:v>
      </x:c>
      <x:c r="D3" s="48" t="str">
        <x:f t="shared" si="0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28</x:v>
      </x:c>
      <x:c r="E3" s="48" t="str">
        <x:f t="shared" si="0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29</x:v>
      </x:c>
      <x:c r="F3" s="48" t="str">
        <x:f t="shared" si="0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30</x:v>
      </x:c>
      <x:c r="G3" s="48" t="str">
        <x:f t="shared" si="0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31</x:v>
      </x:c>
      <x:c r="H3" s="49" t="str">
        <x:f t="shared" si="0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1</x:v>
      </x:c>
      <x:c r="I3" s="1"/>
      <x:c r="S3" s="44" t="n">
        <x:f>IF(2&lt;=DAY(EOMONTH(DATE($G$1,$H$1,1),0)),DATE($G$1,$H$1,2),"")</x:f>
        <x:v>46236</x:v>
      </x:c>
      <x:c r="T3" s="43" t="str">
        <x:v>빨강</x:v>
      </x:c>
      <x:c r="V3" s="46" t="n">
        <x:f>DATE($G$1,$H$1,1)-WEEKDAY(DATE($G$1,$H$1,1),1)+1+1</x:f>
        <x:v>46230</x:v>
      </x:c>
      <x:c r="W3" s="45" t="str">
        <x:f>IFERROR(INDEX('공휴일'!$B$2:$B$306,MATCH(V3,'공휴일'!$A$2:$A$306,0)),"")</x:f>
      </x:c>
    </x:row>
    <x:row r="4" ht="72" customHeight="1">
      <x:c r="B4" s="50" t="str">
        <x:f>IFERROR(INDEX($K$5:$K$504,MATCH($V$2*10+1,$U$5:$U$504,0)),"")&amp;IF(IFERROR(INDEX($K$5:$K$504,MATCH($V$2*10+2,$U$5:$U$504,0)),"")="","",CHAR(10)&amp;IFERROR(INDEX($K$5:$K$504,MATCH($V$2*10+2,$U$5:$U$504,0)),""))&amp;IF(IFERROR(INDEX($K$5:$K$504,MATCH($V$2*10+3,$U$5:$U$504,0)),"")="","",CHAR(10)&amp;IFERROR(INDEX($K$5:$K$504,MATCH($V$2*10+3,$U$5:$U$504,0)),""))&amp;IF(IFERROR(INDEX($K$5:$K$504,MATCH($V$2*10+4,$U$5:$U$504,0)),"")="","",CHAR(10)&amp;IFERROR(INDEX($K$5:$K$504,MATCH($V$2*10+4,$U$5:$U$504,0)),""))&amp;IF(IFERROR(INDEX($K$5:$K$504,MATCH($V$2*10+5,$U$5:$U$504,0)),"")="","",CHAR(10)&amp;IFERROR(INDEX($K$5:$K$504,MATCH($V$2*10+5,$U$5:$U$504,0)),""))</x:f>
      </x:c>
      <x:c r="C4" s="51" t="str">
        <x:f>IFERROR(INDEX($K$5:$K$504,MATCH($V$3*10+1,$U$5:$U$504,0)),"")&amp;IF(IFERROR(INDEX($K$5:$K$504,MATCH($V$3*10+2,$U$5:$U$504,0)),"")="","",CHAR(10)&amp;IFERROR(INDEX($K$5:$K$504,MATCH($V$3*10+2,$U$5:$U$504,0)),""))&amp;IF(IFERROR(INDEX($K$5:$K$504,MATCH($V$3*10+3,$U$5:$U$504,0)),"")="","",CHAR(10)&amp;IFERROR(INDEX($K$5:$K$504,MATCH($V$3*10+3,$U$5:$U$504,0)),""))&amp;IF(IFERROR(INDEX($K$5:$K$504,MATCH($V$3*10+4,$U$5:$U$504,0)),"")="","",CHAR(10)&amp;IFERROR(INDEX($K$5:$K$504,MATCH($V$3*10+4,$U$5:$U$504,0)),""))&amp;IF(IFERROR(INDEX($K$5:$K$504,MATCH($V$3*10+5,$U$5:$U$504,0)),"")="","",CHAR(10)&amp;IFERROR(INDEX($K$5:$K$504,MATCH($V$3*10+5,$U$5:$U$504,0)),""))</x:f>
      </x:c>
      <x:c r="D4" s="52" t="str">
        <x:f>IFERROR(INDEX($K$5:$K$504,MATCH($V$4*10+1,$U$5:$U$504,0)),"")&amp;IF(IFERROR(INDEX($K$5:$K$504,MATCH($V$4*10+2,$U$5:$U$504,0)),"")="","",CHAR(10)&amp;IFERROR(INDEX($K$5:$K$504,MATCH($V$4*10+2,$U$5:$U$504,0)),""))&amp;IF(IFERROR(INDEX($K$5:$K$504,MATCH($V$4*10+3,$U$5:$U$504,0)),"")="","",CHAR(10)&amp;IFERROR(INDEX($K$5:$K$504,MATCH($V$4*10+3,$U$5:$U$504,0)),""))&amp;IF(IFERROR(INDEX($K$5:$K$504,MATCH($V$4*10+4,$U$5:$U$504,0)),"")="","",CHAR(10)&amp;IFERROR(INDEX($K$5:$K$504,MATCH($V$4*10+4,$U$5:$U$504,0)),""))&amp;IF(IFERROR(INDEX($K$5:$K$504,MATCH($V$4*10+5,$U$5:$U$504,0)),"")="","",CHAR(10)&amp;IFERROR(INDEX($K$5:$K$504,MATCH($V$4*10+5,$U$5:$U$504,0)),""))</x:f>
      </x:c>
      <x:c r="E4" s="51" t="str">
        <x:f>IFERROR(INDEX($K$5:$K$504,MATCH($V$5*10+1,$U$5:$U$504,0)),"")&amp;IF(IFERROR(INDEX($K$5:$K$504,MATCH($V$5*10+2,$U$5:$U$504,0)),"")="","",CHAR(10)&amp;IFERROR(INDEX($K$5:$K$504,MATCH($V$5*10+2,$U$5:$U$504,0)),""))&amp;IF(IFERROR(INDEX($K$5:$K$504,MATCH($V$5*10+3,$U$5:$U$504,0)),"")="","",CHAR(10)&amp;IFERROR(INDEX($K$5:$K$504,MATCH($V$5*10+3,$U$5:$U$504,0)),""))&amp;IF(IFERROR(INDEX($K$5:$K$504,MATCH($V$5*10+4,$U$5:$U$504,0)),"")="","",CHAR(10)&amp;IFERROR(INDEX($K$5:$K$504,MATCH($V$5*10+4,$U$5:$U$504,0)),""))&amp;IF(IFERROR(INDEX($K$5:$K$504,MATCH($V$5*10+5,$U$5:$U$504,0)),"")="","",CHAR(10)&amp;IFERROR(INDEX($K$5:$K$504,MATCH($V$5*10+5,$U$5:$U$504,0)),""))</x:f>
      </x:c>
      <x:c r="F4" s="51" t="str">
        <x:f>IFERROR(INDEX($K$5:$K$504,MATCH($V$6*10+1,$U$5:$U$504,0)),"")&amp;IF(IFERROR(INDEX($K$5:$K$504,MATCH($V$6*10+2,$U$5:$U$504,0)),"")="","",CHAR(10)&amp;IFERROR(INDEX($K$5:$K$504,MATCH($V$6*10+2,$U$5:$U$504,0)),""))&amp;IF(IFERROR(INDEX($K$5:$K$504,MATCH($V$6*10+3,$U$5:$U$504,0)),"")="","",CHAR(10)&amp;IFERROR(INDEX($K$5:$K$504,MATCH($V$6*10+3,$U$5:$U$504,0)),""))&amp;IF(IFERROR(INDEX($K$5:$K$504,MATCH($V$6*10+4,$U$5:$U$504,0)),"")="","",CHAR(10)&amp;IFERROR(INDEX($K$5:$K$504,MATCH($V$6*10+4,$U$5:$U$504,0)),""))&amp;IF(IFERROR(INDEX($K$5:$K$504,MATCH($V$6*10+5,$U$5:$U$504,0)),"")="","",CHAR(10)&amp;IFERROR(INDEX($K$5:$K$504,MATCH($V$6*10+5,$U$5:$U$504,0)),""))</x:f>
      </x:c>
      <x:c r="G4" s="51" t="str">
        <x:f>IFERROR(INDEX($K$5:$K$504,MATCH($V$7*10+1,$U$5:$U$504,0)),"")&amp;IF(IFERROR(INDEX($K$5:$K$504,MATCH($V$7*10+2,$U$5:$U$504,0)),"")="","",CHAR(10)&amp;IFERROR(INDEX($K$5:$K$504,MATCH($V$7*10+2,$U$5:$U$504,0)),""))&amp;IF(IFERROR(INDEX($K$5:$K$504,MATCH($V$7*10+3,$U$5:$U$504,0)),"")="","",CHAR(10)&amp;IFERROR(INDEX($K$5:$K$504,MATCH($V$7*10+3,$U$5:$U$504,0)),""))&amp;IF(IFERROR(INDEX($K$5:$K$504,MATCH($V$7*10+4,$U$5:$U$504,0)),"")="","",CHAR(10)&amp;IFERROR(INDEX($K$5:$K$504,MATCH($V$7*10+4,$U$5:$U$504,0)),""))&amp;IF(IFERROR(INDEX($K$5:$K$504,MATCH($V$7*10+5,$U$5:$U$504,0)),"")="","",CHAR(10)&amp;IFERROR(INDEX($K$5:$K$504,MATCH($V$7*10+5,$U$5:$U$504,0)),""))</x:f>
      </x:c>
      <x:c r="H4" s="53" t="str">
        <x:f>IFERROR(INDEX($K$5:$K$504,MATCH($V$8*10+1,$U$5:$U$504,0)),"")&amp;IF(IFERROR(INDEX($K$5:$K$504,MATCH($V$8*10+2,$U$5:$U$504,0)),"")="","",CHAR(10)&amp;IFERROR(INDEX($K$5:$K$504,MATCH($V$8*10+2,$U$5:$U$504,0)),""))&amp;IF(IFERROR(INDEX($K$5:$K$504,MATCH($V$8*10+3,$U$5:$U$504,0)),"")="","",CHAR(10)&amp;IFERROR(INDEX($K$5:$K$504,MATCH($V$8*10+3,$U$5:$U$504,0)),""))&amp;IF(IFERROR(INDEX($K$5:$K$504,MATCH($V$8*10+4,$U$5:$U$504,0)),"")="","",CHAR(10)&amp;IFERROR(INDEX($K$5:$K$504,MATCH($V$8*10+4,$U$5:$U$504,0)),""))&amp;IF(IFERROR(INDEX($K$5:$K$504,MATCH($V$8*10+5,$U$5:$U$504,0)),"")="","",CHAR(10)&amp;IFERROR(INDEX($K$5:$K$504,MATCH($V$8*10+5,$U$5:$U$504,0)),""))</x:f>
      </x:c>
      <x:c r="I4" s="1"/>
      <x:c r="J4" s="30" t="str">
        <x:v>날짜</x:v>
      </x:c>
      <x:c r="K4" s="30" t="str">
        <x:v>제목</x:v>
      </x:c>
      <x:c r="L4" s="30" t="str">
        <x:v>메모</x:v>
      </x:c>
      <x:c r="M4" s="30" t="str">
        <x:v>알림시각</x:v>
      </x:c>
      <x:c r="N4" s="30" t="str">
        <x:v>색상</x:v>
      </x:c>
      <x:c r="O4" s="30" t="str">
        <x:v>ID</x:v>
      </x:c>
      <x:c r="P4" s="30" t="str">
        <x:v>수정시간</x:v>
      </x:c>
      <x:c r="Q4" s="30" t="str">
        <x:v>삭제시간</x:v>
      </x:c>
      <x:c r="R4" s="45" t="str">
        <x:v>내부 순번</x:v>
      </x:c>
      <x:c r="S4" s="44" t="n">
        <x:f>IF(3&lt;=DAY(EOMONTH(DATE($G$1,$H$1,1),0)),DATE($G$1,$H$1,3),"")</x:f>
        <x:v>46237</x:v>
      </x:c>
      <x:c r="T4" s="43" t="str">
        <x:v>초록</x:v>
      </x:c>
      <x:c r="U4" s="45" t="str">
        <x:v>내부 조회 키</x:v>
      </x:c>
      <x:c r="V4" s="46" t="n">
        <x:f>DATE($G$1,$H$1,1)-WEEKDAY(DATE($G$1,$H$1,1),1)+1+2</x:f>
        <x:v>46231</x:v>
      </x:c>
      <x:c r="W4" s="45" t="str">
        <x:f>IFERROR(INDEX('공휴일'!$B$2:$B$306,MATCH(V4,'공휴일'!$A$2:$A$306,0)),"")</x:f>
      </x:c>
    </x:row>
    <x:row r="5" ht="22" customHeight="1">
      <x:c r="B5" s="47" t="str">
        <x:f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2</x:v>
      </x:c>
      <x:c r="C5" s="48" t="str">
        <x:f t="shared" ref="C5:H5" si="1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3</x:v>
      </x:c>
      <x:c r="D5" s="48" t="str">
        <x:f t="shared" si="1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4</x:v>
      </x:c>
      <x:c r="E5" s="48" t="str">
        <x:f t="shared" si="1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5</x:v>
      </x:c>
      <x:c r="F5" s="48" t="str">
        <x:f t="shared" si="1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6</x:v>
      </x:c>
      <x:c r="G5" s="48" t="str">
        <x:f t="shared" si="1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7</x:v>
      </x:c>
      <x:c r="H5" s="49" t="str">
        <x:f t="shared" si="1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8</x:v>
      </x:c>
      <x:c r="I5" s="1"/>
      <x:c r="J5" s="37" t="str"/>
      <x:c r="K5" s="33" t="str"/>
      <x:c r="L5" s="33" t="str"/>
      <x:c r="M5" s="38" t="str"/>
      <x:c r="N5" s="33" t="str"/>
      <x:c r="O5" s="36" t="str"/>
      <x:c r="P5" s="39" t="str"/>
      <x:c r="Q5" s="39" t="str"/>
      <x:c r="R5" s="45" t="str">
        <x:f>IF(OR(J5="",Q5&lt;&gt;""),"",COUNTIF($J$5:J5,J5))</x:f>
      </x:c>
      <x:c r="S5" s="44" t="n">
        <x:f>IF(4&lt;=DAY(EOMONTH(DATE($G$1,$H$1,1),0)),DATE($G$1,$H$1,4),"")</x:f>
        <x:v>46238</x:v>
      </x:c>
      <x:c r="T5" s="43" t="str">
        <x:v>주황</x:v>
      </x:c>
      <x:c r="U5" s="45" t="str">
        <x:f>IF(OR(J5="",Q5&lt;&gt;""),"",J5*10+R5)</x:f>
      </x:c>
      <x:c r="V5" s="46" t="n">
        <x:f>DATE($G$1,$H$1,1)-WEEKDAY(DATE($G$1,$H$1,1),1)+1+3</x:f>
        <x:v>46232</x:v>
      </x:c>
      <x:c r="W5" s="45" t="str">
        <x:f>IFERROR(INDEX('공휴일'!$B$2:$B$306,MATCH(V5,'공휴일'!$A$2:$A$306,0)),"")</x:f>
      </x:c>
    </x:row>
    <x:row r="6" ht="72" customHeight="1">
      <x:c r="B6" s="50" t="str">
        <x:f>IFERROR(INDEX($K$5:$K$504,MATCH($V$9*10+1,$U$5:$U$504,0)),"")&amp;IF(IFERROR(INDEX($K$5:$K$504,MATCH($V$9*10+2,$U$5:$U$504,0)),"")="","",CHAR(10)&amp;IFERROR(INDEX($K$5:$K$504,MATCH($V$9*10+2,$U$5:$U$504,0)),""))&amp;IF(IFERROR(INDEX($K$5:$K$504,MATCH($V$9*10+3,$U$5:$U$504,0)),"")="","",CHAR(10)&amp;IFERROR(INDEX($K$5:$K$504,MATCH($V$9*10+3,$U$5:$U$504,0)),""))&amp;IF(IFERROR(INDEX($K$5:$K$504,MATCH($V$9*10+4,$U$5:$U$504,0)),"")="","",CHAR(10)&amp;IFERROR(INDEX($K$5:$K$504,MATCH($V$9*10+4,$U$5:$U$504,0)),""))&amp;IF(IFERROR(INDEX($K$5:$K$504,MATCH($V$9*10+5,$U$5:$U$504,0)),"")="","",CHAR(10)&amp;IFERROR(INDEX($K$5:$K$504,MATCH($V$9*10+5,$U$5:$U$504,0)),""))</x:f>
      </x:c>
      <x:c r="C6" s="52" t="str">
        <x:f>IFERROR(INDEX($K$5:$K$504,MATCH($V$10*10+1,$U$5:$U$504,0)),"")&amp;IF(IFERROR(INDEX($K$5:$K$504,MATCH($V$10*10+2,$U$5:$U$504,0)),"")="","",CHAR(10)&amp;IFERROR(INDEX($K$5:$K$504,MATCH($V$10*10+2,$U$5:$U$504,0)),""))&amp;IF(IFERROR(INDEX($K$5:$K$504,MATCH($V$10*10+3,$U$5:$U$504,0)),"")="","",CHAR(10)&amp;IFERROR(INDEX($K$5:$K$504,MATCH($V$10*10+3,$U$5:$U$504,0)),""))&amp;IF(IFERROR(INDEX($K$5:$K$504,MATCH($V$10*10+4,$U$5:$U$504,0)),"")="","",CHAR(10)&amp;IFERROR(INDEX($K$5:$K$504,MATCH($V$10*10+4,$U$5:$U$504,0)),""))&amp;IF(IFERROR(INDEX($K$5:$K$504,MATCH($V$10*10+5,$U$5:$U$504,0)),"")="","",CHAR(10)&amp;IFERROR(INDEX($K$5:$K$504,MATCH($V$10*10+5,$U$5:$U$504,0)),""))</x:f>
      </x:c>
      <x:c r="D6" s="52" t="str">
        <x:f>IFERROR(INDEX($K$5:$K$504,MATCH($V$11*10+1,$U$5:$U$504,0)),"")&amp;IF(IFERROR(INDEX($K$5:$K$504,MATCH($V$11*10+2,$U$5:$U$504,0)),"")="","",CHAR(10)&amp;IFERROR(INDEX($K$5:$K$504,MATCH($V$11*10+2,$U$5:$U$504,0)),""))&amp;IF(IFERROR(INDEX($K$5:$K$504,MATCH($V$11*10+3,$U$5:$U$504,0)),"")="","",CHAR(10)&amp;IFERROR(INDEX($K$5:$K$504,MATCH($V$11*10+3,$U$5:$U$504,0)),""))&amp;IF(IFERROR(INDEX($K$5:$K$504,MATCH($V$11*10+4,$U$5:$U$504,0)),"")="","",CHAR(10)&amp;IFERROR(INDEX($K$5:$K$504,MATCH($V$11*10+4,$U$5:$U$504,0)),""))&amp;IF(IFERROR(INDEX($K$5:$K$504,MATCH($V$11*10+5,$U$5:$U$504,0)),"")="","",CHAR(10)&amp;IFERROR(INDEX($K$5:$K$504,MATCH($V$11*10+5,$U$5:$U$504,0)),""))</x:f>
      </x:c>
      <x:c r="E6" s="52" t="str">
        <x:f>IFERROR(INDEX($K$5:$K$504,MATCH($V$12*10+1,$U$5:$U$504,0)),"")&amp;IF(IFERROR(INDEX($K$5:$K$504,MATCH($V$12*10+2,$U$5:$U$504,0)),"")="","",CHAR(10)&amp;IFERROR(INDEX($K$5:$K$504,MATCH($V$12*10+2,$U$5:$U$504,0)),""))&amp;IF(IFERROR(INDEX($K$5:$K$504,MATCH($V$12*10+3,$U$5:$U$504,0)),"")="","",CHAR(10)&amp;IFERROR(INDEX($K$5:$K$504,MATCH($V$12*10+3,$U$5:$U$504,0)),""))&amp;IF(IFERROR(INDEX($K$5:$K$504,MATCH($V$12*10+4,$U$5:$U$504,0)),"")="","",CHAR(10)&amp;IFERROR(INDEX($K$5:$K$504,MATCH($V$12*10+4,$U$5:$U$504,0)),""))&amp;IF(IFERROR(INDEX($K$5:$K$504,MATCH($V$12*10+5,$U$5:$U$504,0)),"")="","",CHAR(10)&amp;IFERROR(INDEX($K$5:$K$504,MATCH($V$12*10+5,$U$5:$U$504,0)),""))</x:f>
      </x:c>
      <x:c r="F6" s="52" t="str">
        <x:f>IFERROR(INDEX($K$5:$K$504,MATCH($V$13*10+1,$U$5:$U$504,0)),"")&amp;IF(IFERROR(INDEX($K$5:$K$504,MATCH($V$13*10+2,$U$5:$U$504,0)),"")="","",CHAR(10)&amp;IFERROR(INDEX($K$5:$K$504,MATCH($V$13*10+2,$U$5:$U$504,0)),""))&amp;IF(IFERROR(INDEX($K$5:$K$504,MATCH($V$13*10+3,$U$5:$U$504,0)),"")="","",CHAR(10)&amp;IFERROR(INDEX($K$5:$K$504,MATCH($V$13*10+3,$U$5:$U$504,0)),""))&amp;IF(IFERROR(INDEX($K$5:$K$504,MATCH($V$13*10+4,$U$5:$U$504,0)),"")="","",CHAR(10)&amp;IFERROR(INDEX($K$5:$K$504,MATCH($V$13*10+4,$U$5:$U$504,0)),""))&amp;IF(IFERROR(INDEX($K$5:$K$504,MATCH($V$13*10+5,$U$5:$U$504,0)),"")="","",CHAR(10)&amp;IFERROR(INDEX($K$5:$K$504,MATCH($V$13*10+5,$U$5:$U$504,0)),""))</x:f>
      </x:c>
      <x:c r="G6" s="52" t="str">
        <x:f>IFERROR(INDEX($K$5:$K$504,MATCH($V$14*10+1,$U$5:$U$504,0)),"")&amp;IF(IFERROR(INDEX($K$5:$K$504,MATCH($V$14*10+2,$U$5:$U$504,0)),"")="","",CHAR(10)&amp;IFERROR(INDEX($K$5:$K$504,MATCH($V$14*10+2,$U$5:$U$504,0)),""))&amp;IF(IFERROR(INDEX($K$5:$K$504,MATCH($V$14*10+3,$U$5:$U$504,0)),"")="","",CHAR(10)&amp;IFERROR(INDEX($K$5:$K$504,MATCH($V$14*10+3,$U$5:$U$504,0)),""))&amp;IF(IFERROR(INDEX($K$5:$K$504,MATCH($V$14*10+4,$U$5:$U$504,0)),"")="","",CHAR(10)&amp;IFERROR(INDEX($K$5:$K$504,MATCH($V$14*10+4,$U$5:$U$504,0)),""))&amp;IF(IFERROR(INDEX($K$5:$K$504,MATCH($V$14*10+5,$U$5:$U$504,0)),"")="","",CHAR(10)&amp;IFERROR(INDEX($K$5:$K$504,MATCH($V$14*10+5,$U$5:$U$504,0)),""))</x:f>
      </x:c>
      <x:c r="H6" s="53" t="str">
        <x:f>IFERROR(INDEX($K$5:$K$504,MATCH($V$15*10+1,$U$5:$U$504,0)),"")&amp;IF(IFERROR(INDEX($K$5:$K$504,MATCH($V$15*10+2,$U$5:$U$504,0)),"")="","",CHAR(10)&amp;IFERROR(INDEX($K$5:$K$504,MATCH($V$15*10+2,$U$5:$U$504,0)),""))&amp;IF(IFERROR(INDEX($K$5:$K$504,MATCH($V$15*10+3,$U$5:$U$504,0)),"")="","",CHAR(10)&amp;IFERROR(INDEX($K$5:$K$504,MATCH($V$15*10+3,$U$5:$U$504,0)),""))&amp;IF(IFERROR(INDEX($K$5:$K$504,MATCH($V$15*10+4,$U$5:$U$504,0)),"")="","",CHAR(10)&amp;IFERROR(INDEX($K$5:$K$504,MATCH($V$15*10+4,$U$5:$U$504,0)),""))&amp;IF(IFERROR(INDEX($K$5:$K$504,MATCH($V$15*10+5,$U$5:$U$504,0)),"")="","",CHAR(10)&amp;IFERROR(INDEX($K$5:$K$504,MATCH($V$15*10+5,$U$5:$U$504,0)),""))</x:f>
      </x:c>
      <x:c r="I6" s="1"/>
      <x:c r="J6" s="37" t="str"/>
      <x:c r="K6" s="33" t="str"/>
      <x:c r="L6" s="33" t="str"/>
      <x:c r="M6" s="38" t="str"/>
      <x:c r="N6" s="33" t="str"/>
      <x:c r="O6" s="36" t="str"/>
      <x:c r="P6" s="39" t="str"/>
      <x:c r="Q6" s="39" t="str"/>
      <x:c r="R6" s="45" t="str">
        <x:f>IF(OR(J6="",Q6&lt;&gt;""),"",COUNTIF($J$5:J6,J6))</x:f>
      </x:c>
      <x:c r="S6" s="44" t="n">
        <x:f>IF(5&lt;=DAY(EOMONTH(DATE($G$1,$H$1,1),0)),DATE($G$1,$H$1,5),"")</x:f>
        <x:v>46239</x:v>
      </x:c>
      <x:c r="T6" s="43" t="str">
        <x:v>보라</x:v>
      </x:c>
      <x:c r="U6" s="45" t="str">
        <x:f>IF(OR(J6="",Q6&lt;&gt;""),"",J6*10+R6)</x:f>
      </x:c>
      <x:c r="V6" s="46" t="n">
        <x:f>DATE($G$1,$H$1,1)-WEEKDAY(DATE($G$1,$H$1,1),1)+1+4</x:f>
        <x:v>46233</x:v>
      </x:c>
      <x:c r="W6" s="45" t="str">
        <x:f>IFERROR(INDEX('공휴일'!$B$2:$B$306,MATCH(V6,'공휴일'!$A$2:$A$306,0)),"")</x:f>
      </x:c>
    </x:row>
    <x:row r="7" ht="22" customHeight="1">
      <x:c r="B7" s="47" t="str">
        <x:f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9</x:v>
      </x:c>
      <x:c r="C7" s="48" t="str">
        <x:f t="shared" ref="C7:H7" si="2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10</x:v>
      </x:c>
      <x:c r="D7" s="48" t="str">
        <x:f t="shared" si="2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11</x:v>
      </x:c>
      <x:c r="E7" s="48" t="str">
        <x:f t="shared" si="2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12</x:v>
      </x:c>
      <x:c r="F7" s="48" t="str">
        <x:f t="shared" si="2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13</x:v>
      </x:c>
      <x:c r="G7" s="48" t="str">
        <x:f t="shared" si="2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14</x:v>
      </x:c>
      <x:c r="H7" s="49" t="str">
        <x:f t="shared" si="2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광복절               15</x:v>
      </x:c>
      <x:c r="I7" s="1"/>
      <x:c r="J7" s="37" t="str"/>
      <x:c r="K7" s="33" t="str"/>
      <x:c r="L7" s="33" t="str"/>
      <x:c r="M7" s="38" t="str"/>
      <x:c r="N7" s="33" t="str"/>
      <x:c r="O7" s="36" t="str"/>
      <x:c r="P7" s="39" t="str"/>
      <x:c r="Q7" s="39" t="str"/>
      <x:c r="R7" s="45" t="str">
        <x:f>IF(OR(J7="",Q7&lt;&gt;""),"",COUNTIF($J$5:J7,J7))</x:f>
      </x:c>
      <x:c r="S7" s="44" t="n">
        <x:f>IF(6&lt;=DAY(EOMONTH(DATE($G$1,$H$1,1),0)),DATE($G$1,$H$1,6),"")</x:f>
        <x:v>46240</x:v>
      </x:c>
      <x:c r="T7" s="43" t="str">
        <x:v>분홍</x:v>
      </x:c>
      <x:c r="U7" s="45" t="str">
        <x:f>IF(OR(J7="",Q7&lt;&gt;""),"",J7*10+R7)</x:f>
      </x:c>
      <x:c r="V7" s="46" t="n">
        <x:f>DATE($G$1,$H$1,1)-WEEKDAY(DATE($G$1,$H$1,1),1)+1+5</x:f>
        <x:v>46234</x:v>
      </x:c>
      <x:c r="W7" s="45" t="str">
        <x:f>IFERROR(INDEX('공휴일'!$B$2:$B$306,MATCH(V7,'공휴일'!$A$2:$A$306,0)),"")</x:f>
      </x:c>
    </x:row>
    <x:row r="8" ht="72" customHeight="1">
      <x:c r="B8" s="50" t="str">
        <x:f>IFERROR(INDEX($K$5:$K$504,MATCH($V$16*10+1,$U$5:$U$504,0)),"")&amp;IF(IFERROR(INDEX($K$5:$K$504,MATCH($V$16*10+2,$U$5:$U$504,0)),"")="","",CHAR(10)&amp;IFERROR(INDEX($K$5:$K$504,MATCH($V$16*10+2,$U$5:$U$504,0)),""))&amp;IF(IFERROR(INDEX($K$5:$K$504,MATCH($V$16*10+3,$U$5:$U$504,0)),"")="","",CHAR(10)&amp;IFERROR(INDEX($K$5:$K$504,MATCH($V$16*10+3,$U$5:$U$504,0)),""))&amp;IF(IFERROR(INDEX($K$5:$K$504,MATCH($V$16*10+4,$U$5:$U$504,0)),"")="","",CHAR(10)&amp;IFERROR(INDEX($K$5:$K$504,MATCH($V$16*10+4,$U$5:$U$504,0)),""))&amp;IF(IFERROR(INDEX($K$5:$K$504,MATCH($V$16*10+5,$U$5:$U$504,0)),"")="","",CHAR(10)&amp;IFERROR(INDEX($K$5:$K$504,MATCH($V$16*10+5,$U$5:$U$504,0)),""))</x:f>
      </x:c>
      <x:c r="C8" s="52" t="str">
        <x:f>IFERROR(INDEX($K$5:$K$504,MATCH($V$17*10+1,$U$5:$U$504,0)),"")&amp;IF(IFERROR(INDEX($K$5:$K$504,MATCH($V$17*10+2,$U$5:$U$504,0)),"")="","",CHAR(10)&amp;IFERROR(INDEX($K$5:$K$504,MATCH($V$17*10+2,$U$5:$U$504,0)),""))&amp;IF(IFERROR(INDEX($K$5:$K$504,MATCH($V$17*10+3,$U$5:$U$504,0)),"")="","",CHAR(10)&amp;IFERROR(INDEX($K$5:$K$504,MATCH($V$17*10+3,$U$5:$U$504,0)),""))&amp;IF(IFERROR(INDEX($K$5:$K$504,MATCH($V$17*10+4,$U$5:$U$504,0)),"")="","",CHAR(10)&amp;IFERROR(INDEX($K$5:$K$504,MATCH($V$17*10+4,$U$5:$U$504,0)),""))&amp;IF(IFERROR(INDEX($K$5:$K$504,MATCH($V$17*10+5,$U$5:$U$504,0)),"")="","",CHAR(10)&amp;IFERROR(INDEX($K$5:$K$504,MATCH($V$17*10+5,$U$5:$U$504,0)),""))</x:f>
      </x:c>
      <x:c r="D8" s="52" t="str">
        <x:f>IFERROR(INDEX($K$5:$K$504,MATCH($V$18*10+1,$U$5:$U$504,0)),"")&amp;IF(IFERROR(INDEX($K$5:$K$504,MATCH($V$18*10+2,$U$5:$U$504,0)),"")="","",CHAR(10)&amp;IFERROR(INDEX($K$5:$K$504,MATCH($V$18*10+2,$U$5:$U$504,0)),""))&amp;IF(IFERROR(INDEX($K$5:$K$504,MATCH($V$18*10+3,$U$5:$U$504,0)),"")="","",CHAR(10)&amp;IFERROR(INDEX($K$5:$K$504,MATCH($V$18*10+3,$U$5:$U$504,0)),""))&amp;IF(IFERROR(INDEX($K$5:$K$504,MATCH($V$18*10+4,$U$5:$U$504,0)),"")="","",CHAR(10)&amp;IFERROR(INDEX($K$5:$K$504,MATCH($V$18*10+4,$U$5:$U$504,0)),""))&amp;IF(IFERROR(INDEX($K$5:$K$504,MATCH($V$18*10+5,$U$5:$U$504,0)),"")="","",CHAR(10)&amp;IFERROR(INDEX($K$5:$K$504,MATCH($V$18*10+5,$U$5:$U$504,0)),""))</x:f>
      </x:c>
      <x:c r="E8" s="52" t="str">
        <x:f>IFERROR(INDEX($K$5:$K$504,MATCH($V$19*10+1,$U$5:$U$504,0)),"")&amp;IF(IFERROR(INDEX($K$5:$K$504,MATCH($V$19*10+2,$U$5:$U$504,0)),"")="","",CHAR(10)&amp;IFERROR(INDEX($K$5:$K$504,MATCH($V$19*10+2,$U$5:$U$504,0)),""))&amp;IF(IFERROR(INDEX($K$5:$K$504,MATCH($V$19*10+3,$U$5:$U$504,0)),"")="","",CHAR(10)&amp;IFERROR(INDEX($K$5:$K$504,MATCH($V$19*10+3,$U$5:$U$504,0)),""))&amp;IF(IFERROR(INDEX($K$5:$K$504,MATCH($V$19*10+4,$U$5:$U$504,0)),"")="","",CHAR(10)&amp;IFERROR(INDEX($K$5:$K$504,MATCH($V$19*10+4,$U$5:$U$504,0)),""))&amp;IF(IFERROR(INDEX($K$5:$K$504,MATCH($V$19*10+5,$U$5:$U$504,0)),"")="","",CHAR(10)&amp;IFERROR(INDEX($K$5:$K$504,MATCH($V$19*10+5,$U$5:$U$504,0)),""))</x:f>
      </x:c>
      <x:c r="F8" s="52" t="str">
        <x:f>IFERROR(INDEX($K$5:$K$504,MATCH($V$20*10+1,$U$5:$U$504,0)),"")&amp;IF(IFERROR(INDEX($K$5:$K$504,MATCH($V$20*10+2,$U$5:$U$504,0)),"")="","",CHAR(10)&amp;IFERROR(INDEX($K$5:$K$504,MATCH($V$20*10+2,$U$5:$U$504,0)),""))&amp;IF(IFERROR(INDEX($K$5:$K$504,MATCH($V$20*10+3,$U$5:$U$504,0)),"")="","",CHAR(10)&amp;IFERROR(INDEX($K$5:$K$504,MATCH($V$20*10+3,$U$5:$U$504,0)),""))&amp;IF(IFERROR(INDEX($K$5:$K$504,MATCH($V$20*10+4,$U$5:$U$504,0)),"")="","",CHAR(10)&amp;IFERROR(INDEX($K$5:$K$504,MATCH($V$20*10+4,$U$5:$U$504,0)),""))&amp;IF(IFERROR(INDEX($K$5:$K$504,MATCH($V$20*10+5,$U$5:$U$504,0)),"")="","",CHAR(10)&amp;IFERROR(INDEX($K$5:$K$504,MATCH($V$20*10+5,$U$5:$U$504,0)),""))</x:f>
      </x:c>
      <x:c r="G8" s="52" t="str">
        <x:f>IFERROR(INDEX($K$5:$K$504,MATCH($V$21*10+1,$U$5:$U$504,0)),"")&amp;IF(IFERROR(INDEX($K$5:$K$504,MATCH($V$21*10+2,$U$5:$U$504,0)),"")="","",CHAR(10)&amp;IFERROR(INDEX($K$5:$K$504,MATCH($V$21*10+2,$U$5:$U$504,0)),""))&amp;IF(IFERROR(INDEX($K$5:$K$504,MATCH($V$21*10+3,$U$5:$U$504,0)),"")="","",CHAR(10)&amp;IFERROR(INDEX($K$5:$K$504,MATCH($V$21*10+3,$U$5:$U$504,0)),""))&amp;IF(IFERROR(INDEX($K$5:$K$504,MATCH($V$21*10+4,$U$5:$U$504,0)),"")="","",CHAR(10)&amp;IFERROR(INDEX($K$5:$K$504,MATCH($V$21*10+4,$U$5:$U$504,0)),""))&amp;IF(IFERROR(INDEX($K$5:$K$504,MATCH($V$21*10+5,$U$5:$U$504,0)),"")="","",CHAR(10)&amp;IFERROR(INDEX($K$5:$K$504,MATCH($V$21*10+5,$U$5:$U$504,0)),""))</x:f>
      </x:c>
      <x:c r="H8" s="53" t="str">
        <x:f>IFERROR(INDEX($K$5:$K$504,MATCH($V$22*10+1,$U$5:$U$504,0)),"")&amp;IF(IFERROR(INDEX($K$5:$K$504,MATCH($V$22*10+2,$U$5:$U$504,0)),"")="","",CHAR(10)&amp;IFERROR(INDEX($K$5:$K$504,MATCH($V$22*10+2,$U$5:$U$504,0)),""))&amp;IF(IFERROR(INDEX($K$5:$K$504,MATCH($V$22*10+3,$U$5:$U$504,0)),"")="","",CHAR(10)&amp;IFERROR(INDEX($K$5:$K$504,MATCH($V$22*10+3,$U$5:$U$504,0)),""))&amp;IF(IFERROR(INDEX($K$5:$K$504,MATCH($V$22*10+4,$U$5:$U$504,0)),"")="","",CHAR(10)&amp;IFERROR(INDEX($K$5:$K$504,MATCH($V$22*10+4,$U$5:$U$504,0)),""))&amp;IF(IFERROR(INDEX($K$5:$K$504,MATCH($V$22*10+5,$U$5:$U$504,0)),"")="","",CHAR(10)&amp;IFERROR(INDEX($K$5:$K$504,MATCH($V$22*10+5,$U$5:$U$504,0)),""))</x:f>
      </x:c>
      <x:c r="I8" s="1"/>
      <x:c r="J8" s="37" t="str"/>
      <x:c r="K8" s="33" t="str"/>
      <x:c r="L8" s="33" t="str"/>
      <x:c r="M8" s="38" t="str"/>
      <x:c r="N8" s="33" t="str"/>
      <x:c r="O8" s="36" t="str"/>
      <x:c r="P8" s="39" t="str"/>
      <x:c r="Q8" s="39" t="str"/>
      <x:c r="R8" s="45" t="str">
        <x:f>IF(OR(J8="",Q8&lt;&gt;""),"",COUNTIF($J$5:J8,J8))</x:f>
      </x:c>
      <x:c r="S8" s="44" t="n">
        <x:f>IF(7&lt;=DAY(EOMONTH(DATE($G$1,$H$1,1),0)),DATE($G$1,$H$1,7),"")</x:f>
        <x:v>46241</x:v>
      </x:c>
      <x:c r="T8" s="43" t="str">
        <x:v>회색</x:v>
      </x:c>
      <x:c r="U8" s="45" t="str">
        <x:f>IF(OR(J8="",Q8&lt;&gt;""),"",J8*10+R8)</x:f>
      </x:c>
      <x:c r="V8" s="46" t="n">
        <x:f>DATE($G$1,$H$1,1)-WEEKDAY(DATE($G$1,$H$1,1),1)+1+6</x:f>
        <x:v>46235</x:v>
      </x:c>
      <x:c r="W8" s="45" t="str">
        <x:f>IFERROR(INDEX('공휴일'!$B$2:$B$306,MATCH(V8,'공휴일'!$A$2:$A$306,0)),"")</x:f>
      </x:c>
    </x:row>
    <x:row r="9" ht="22" customHeight="1">
      <x:c r="B9" s="47" t="str">
        <x:f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16</x:v>
      </x:c>
      <x:c r="C9" s="48" t="str">
        <x:f t="shared" ref="C9:H9" si="3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광복절 대체 휴일         17</x:v>
      </x:c>
      <x:c r="D9" s="48" t="str">
        <x:f t="shared" si="3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18</x:v>
      </x:c>
      <x:c r="E9" s="48" t="str">
        <x:f t="shared" si="3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19</x:v>
      </x:c>
      <x:c r="F9" s="48" t="str">
        <x:f t="shared" si="3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20</x:v>
      </x:c>
      <x:c r="G9" s="48" t="str">
        <x:f t="shared" si="3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21</x:v>
      </x:c>
      <x:c r="H9" s="49" t="str">
        <x:f t="shared" si="3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22</x:v>
      </x:c>
      <x:c r="I9" s="1"/>
      <x:c r="J9" s="37" t="str"/>
      <x:c r="K9" s="33" t="str"/>
      <x:c r="L9" s="33" t="str"/>
      <x:c r="M9" s="38" t="str"/>
      <x:c r="N9" s="33" t="str"/>
      <x:c r="O9" s="36" t="str"/>
      <x:c r="P9" s="39" t="str"/>
      <x:c r="Q9" s="39" t="str"/>
      <x:c r="R9" s="45" t="str">
        <x:f>IF(OR(J9="",Q9&lt;&gt;""),"",COUNTIF($J$5:J9,J9))</x:f>
      </x:c>
      <x:c r="S9" s="44" t="n">
        <x:f>IF(8&lt;=DAY(EOMONTH(DATE($G$1,$H$1,1),0)),DATE($G$1,$H$1,8),"")</x:f>
        <x:v>46242</x:v>
      </x:c>
      <x:c r="T9" s="43"/>
      <x:c r="U9" s="45" t="str">
        <x:f>IF(OR(J9="",Q9&lt;&gt;""),"",J9*10+R9)</x:f>
      </x:c>
      <x:c r="V9" s="46" t="n">
        <x:f>DATE($G$1,$H$1,1)-WEEKDAY(DATE($G$1,$H$1,1),1)+1+7</x:f>
        <x:v>46236</x:v>
      </x:c>
      <x:c r="W9" s="45" t="str">
        <x:f>IFERROR(INDEX('공휴일'!$B$2:$B$306,MATCH(V9,'공휴일'!$A$2:$A$306,0)),"")</x:f>
      </x:c>
    </x:row>
    <x:row r="10" ht="72" customHeight="1">
      <x:c r="B10" s="50" t="str">
        <x:f>IFERROR(INDEX($K$5:$K$504,MATCH($V$23*10+1,$U$5:$U$504,0)),"")&amp;IF(IFERROR(INDEX($K$5:$K$504,MATCH($V$23*10+2,$U$5:$U$504,0)),"")="","",CHAR(10)&amp;IFERROR(INDEX($K$5:$K$504,MATCH($V$23*10+2,$U$5:$U$504,0)),""))&amp;IF(IFERROR(INDEX($K$5:$K$504,MATCH($V$23*10+3,$U$5:$U$504,0)),"")="","",CHAR(10)&amp;IFERROR(INDEX($K$5:$K$504,MATCH($V$23*10+3,$U$5:$U$504,0)),""))&amp;IF(IFERROR(INDEX($K$5:$K$504,MATCH($V$23*10+4,$U$5:$U$504,0)),"")="","",CHAR(10)&amp;IFERROR(INDEX($K$5:$K$504,MATCH($V$23*10+4,$U$5:$U$504,0)),""))&amp;IF(IFERROR(INDEX($K$5:$K$504,MATCH($V$23*10+5,$U$5:$U$504,0)),"")="","",CHAR(10)&amp;IFERROR(INDEX($K$5:$K$504,MATCH($V$23*10+5,$U$5:$U$504,0)),""))</x:f>
      </x:c>
      <x:c r="C10" s="52" t="str">
        <x:f>IFERROR(INDEX($K$5:$K$504,MATCH($V$24*10+1,$U$5:$U$504,0)),"")&amp;IF(IFERROR(INDEX($K$5:$K$504,MATCH($V$24*10+2,$U$5:$U$504,0)),"")="","",CHAR(10)&amp;IFERROR(INDEX($K$5:$K$504,MATCH($V$24*10+2,$U$5:$U$504,0)),""))&amp;IF(IFERROR(INDEX($K$5:$K$504,MATCH($V$24*10+3,$U$5:$U$504,0)),"")="","",CHAR(10)&amp;IFERROR(INDEX($K$5:$K$504,MATCH($V$24*10+3,$U$5:$U$504,0)),""))&amp;IF(IFERROR(INDEX($K$5:$K$504,MATCH($V$24*10+4,$U$5:$U$504,0)),"")="","",CHAR(10)&amp;IFERROR(INDEX($K$5:$K$504,MATCH($V$24*10+4,$U$5:$U$504,0)),""))&amp;IF(IFERROR(INDEX($K$5:$K$504,MATCH($V$24*10+5,$U$5:$U$504,0)),"")="","",CHAR(10)&amp;IFERROR(INDEX($K$5:$K$504,MATCH($V$24*10+5,$U$5:$U$504,0)),""))</x:f>
      </x:c>
      <x:c r="D10" s="52" t="str">
        <x:f>IFERROR(INDEX($K$5:$K$504,MATCH($V$25*10+1,$U$5:$U$504,0)),"")&amp;IF(IFERROR(INDEX($K$5:$K$504,MATCH($V$25*10+2,$U$5:$U$504,0)),"")="","",CHAR(10)&amp;IFERROR(INDEX($K$5:$K$504,MATCH($V$25*10+2,$U$5:$U$504,0)),""))&amp;IF(IFERROR(INDEX($K$5:$K$504,MATCH($V$25*10+3,$U$5:$U$504,0)),"")="","",CHAR(10)&amp;IFERROR(INDEX($K$5:$K$504,MATCH($V$25*10+3,$U$5:$U$504,0)),""))&amp;IF(IFERROR(INDEX($K$5:$K$504,MATCH($V$25*10+4,$U$5:$U$504,0)),"")="","",CHAR(10)&amp;IFERROR(INDEX($K$5:$K$504,MATCH($V$25*10+4,$U$5:$U$504,0)),""))&amp;IF(IFERROR(INDEX($K$5:$K$504,MATCH($V$25*10+5,$U$5:$U$504,0)),"")="","",CHAR(10)&amp;IFERROR(INDEX($K$5:$K$504,MATCH($V$25*10+5,$U$5:$U$504,0)),""))</x:f>
      </x:c>
      <x:c r="E10" s="52" t="str">
        <x:f>IFERROR(INDEX($K$5:$K$504,MATCH($V$26*10+1,$U$5:$U$504,0)),"")&amp;IF(IFERROR(INDEX($K$5:$K$504,MATCH($V$26*10+2,$U$5:$U$504,0)),"")="","",CHAR(10)&amp;IFERROR(INDEX($K$5:$K$504,MATCH($V$26*10+2,$U$5:$U$504,0)),""))&amp;IF(IFERROR(INDEX($K$5:$K$504,MATCH($V$26*10+3,$U$5:$U$504,0)),"")="","",CHAR(10)&amp;IFERROR(INDEX($K$5:$K$504,MATCH($V$26*10+3,$U$5:$U$504,0)),""))&amp;IF(IFERROR(INDEX($K$5:$K$504,MATCH($V$26*10+4,$U$5:$U$504,0)),"")="","",CHAR(10)&amp;IFERROR(INDEX($K$5:$K$504,MATCH($V$26*10+4,$U$5:$U$504,0)),""))&amp;IF(IFERROR(INDEX($K$5:$K$504,MATCH($V$26*10+5,$U$5:$U$504,0)),"")="","",CHAR(10)&amp;IFERROR(INDEX($K$5:$K$504,MATCH($V$26*10+5,$U$5:$U$504,0)),""))</x:f>
      </x:c>
      <x:c r="F10" s="52" t="str">
        <x:f>IFERROR(INDEX($K$5:$K$504,MATCH($V$27*10+1,$U$5:$U$504,0)),"")&amp;IF(IFERROR(INDEX($K$5:$K$504,MATCH($V$27*10+2,$U$5:$U$504,0)),"")="","",CHAR(10)&amp;IFERROR(INDEX($K$5:$K$504,MATCH($V$27*10+2,$U$5:$U$504,0)),""))&amp;IF(IFERROR(INDEX($K$5:$K$504,MATCH($V$27*10+3,$U$5:$U$504,0)),"")="","",CHAR(10)&amp;IFERROR(INDEX($K$5:$K$504,MATCH($V$27*10+3,$U$5:$U$504,0)),""))&amp;IF(IFERROR(INDEX($K$5:$K$504,MATCH($V$27*10+4,$U$5:$U$504,0)),"")="","",CHAR(10)&amp;IFERROR(INDEX($K$5:$K$504,MATCH($V$27*10+4,$U$5:$U$504,0)),""))&amp;IF(IFERROR(INDEX($K$5:$K$504,MATCH($V$27*10+5,$U$5:$U$504,0)),"")="","",CHAR(10)&amp;IFERROR(INDEX($K$5:$K$504,MATCH($V$27*10+5,$U$5:$U$504,0)),""))</x:f>
      </x:c>
      <x:c r="G10" s="52" t="str">
        <x:f>IFERROR(INDEX($K$5:$K$504,MATCH($V$28*10+1,$U$5:$U$504,0)),"")&amp;IF(IFERROR(INDEX($K$5:$K$504,MATCH($V$28*10+2,$U$5:$U$504,0)),"")="","",CHAR(10)&amp;IFERROR(INDEX($K$5:$K$504,MATCH($V$28*10+2,$U$5:$U$504,0)),""))&amp;IF(IFERROR(INDEX($K$5:$K$504,MATCH($V$28*10+3,$U$5:$U$504,0)),"")="","",CHAR(10)&amp;IFERROR(INDEX($K$5:$K$504,MATCH($V$28*10+3,$U$5:$U$504,0)),""))&amp;IF(IFERROR(INDEX($K$5:$K$504,MATCH($V$28*10+4,$U$5:$U$504,0)),"")="","",CHAR(10)&amp;IFERROR(INDEX($K$5:$K$504,MATCH($V$28*10+4,$U$5:$U$504,0)),""))&amp;IF(IFERROR(INDEX($K$5:$K$504,MATCH($V$28*10+5,$U$5:$U$504,0)),"")="","",CHAR(10)&amp;IFERROR(INDEX($K$5:$K$504,MATCH($V$28*10+5,$U$5:$U$504,0)),""))</x:f>
      </x:c>
      <x:c r="H10" s="53" t="str">
        <x:f>IFERROR(INDEX($K$5:$K$504,MATCH($V$29*10+1,$U$5:$U$504,0)),"")&amp;IF(IFERROR(INDEX($K$5:$K$504,MATCH($V$29*10+2,$U$5:$U$504,0)),"")="","",CHAR(10)&amp;IFERROR(INDEX($K$5:$K$504,MATCH($V$29*10+2,$U$5:$U$504,0)),""))&amp;IF(IFERROR(INDEX($K$5:$K$504,MATCH($V$29*10+3,$U$5:$U$504,0)),"")="","",CHAR(10)&amp;IFERROR(INDEX($K$5:$K$504,MATCH($V$29*10+3,$U$5:$U$504,0)),""))&amp;IF(IFERROR(INDEX($K$5:$K$504,MATCH($V$29*10+4,$U$5:$U$504,0)),"")="","",CHAR(10)&amp;IFERROR(INDEX($K$5:$K$504,MATCH($V$29*10+4,$U$5:$U$504,0)),""))&amp;IF(IFERROR(INDEX($K$5:$K$504,MATCH($V$29*10+5,$U$5:$U$504,0)),"")="","",CHAR(10)&amp;IFERROR(INDEX($K$5:$K$504,MATCH($V$29*10+5,$U$5:$U$504,0)),""))</x:f>
      </x:c>
      <x:c r="I10" s="1"/>
      <x:c r="J10" s="37" t="str"/>
      <x:c r="K10" s="33" t="str"/>
      <x:c r="L10" s="33" t="str"/>
      <x:c r="M10" s="38" t="str"/>
      <x:c r="N10" s="33" t="str"/>
      <x:c r="O10" s="36" t="str"/>
      <x:c r="P10" s="39" t="str"/>
      <x:c r="Q10" s="39" t="str"/>
      <x:c r="R10" s="45" t="str">
        <x:f>IF(OR(J10="",Q10&lt;&gt;""),"",COUNTIF($J$5:J10,J10))</x:f>
      </x:c>
      <x:c r="S10" s="44" t="n">
        <x:f>IF(9&lt;=DAY(EOMONTH(DATE($G$1,$H$1,1),0)),DATE($G$1,$H$1,9),"")</x:f>
        <x:v>46243</x:v>
      </x:c>
      <x:c r="T10" s="43"/>
      <x:c r="U10" s="45" t="str">
        <x:f>IF(OR(J10="",Q10&lt;&gt;""),"",J10*10+R10)</x:f>
      </x:c>
      <x:c r="V10" s="46" t="n">
        <x:f>DATE($G$1,$H$1,1)-WEEKDAY(DATE($G$1,$H$1,1),1)+1+8</x:f>
        <x:v>46237</x:v>
      </x:c>
      <x:c r="W10" s="45" t="str">
        <x:f>IFERROR(INDEX('공휴일'!$B$2:$B$306,MATCH(V10,'공휴일'!$A$2:$A$306,0)),"")</x:f>
      </x:c>
    </x:row>
    <x:row r="11" ht="22" customHeight="1">
      <x:c r="B11" s="47" t="str">
        <x:f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23</x:v>
      </x:c>
      <x:c r="C11" s="48" t="str">
        <x:f t="shared" ref="C11:H11" si="4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24</x:v>
      </x:c>
      <x:c r="D11" s="48" t="str">
        <x:f t="shared" si="4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25</x:v>
      </x:c>
      <x:c r="E11" s="48" t="str">
        <x:f t="shared" si="4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26</x:v>
      </x:c>
      <x:c r="F11" s="48" t="str">
        <x:f t="shared" si="4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27</x:v>
      </x:c>
      <x:c r="G11" s="48" t="str">
        <x:f t="shared" si="4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28</x:v>
      </x:c>
      <x:c r="H11" s="49" t="str">
        <x:f t="shared" si="4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29</x:v>
      </x:c>
      <x:c r="I11" s="1"/>
      <x:c r="J11" s="37" t="str"/>
      <x:c r="K11" s="33" t="str"/>
      <x:c r="L11" s="33" t="str"/>
      <x:c r="M11" s="38" t="str"/>
      <x:c r="N11" s="33" t="str"/>
      <x:c r="O11" s="36" t="str"/>
      <x:c r="P11" s="39" t="str"/>
      <x:c r="Q11" s="39" t="str"/>
      <x:c r="R11" s="45" t="str">
        <x:f>IF(OR(J11="",Q11&lt;&gt;""),"",COUNTIF($J$5:J11,J11))</x:f>
      </x:c>
      <x:c r="S11" s="44" t="n">
        <x:f>IF(10&lt;=DAY(EOMONTH(DATE($G$1,$H$1,1),0)),DATE($G$1,$H$1,10),"")</x:f>
        <x:v>46244</x:v>
      </x:c>
      <x:c r="T11" s="43"/>
      <x:c r="U11" s="45" t="str">
        <x:f>IF(OR(J11="",Q11&lt;&gt;""),"",J11*10+R11)</x:f>
      </x:c>
      <x:c r="V11" s="46" t="n">
        <x:f>DATE($G$1,$H$1,1)-WEEKDAY(DATE($G$1,$H$1,1),1)+1+9</x:f>
        <x:v>46238</x:v>
      </x:c>
      <x:c r="W11" s="45" t="str">
        <x:f>IFERROR(INDEX('공휴일'!$B$2:$B$306,MATCH(V11,'공휴일'!$A$2:$A$306,0)),"")</x:f>
      </x:c>
    </x:row>
    <x:row r="12" ht="72" customHeight="1">
      <x:c r="B12" s="50" t="str">
        <x:f>IFERROR(INDEX($K$5:$K$504,MATCH($V$30*10+1,$U$5:$U$504,0)),"")&amp;IF(IFERROR(INDEX($K$5:$K$504,MATCH($V$30*10+2,$U$5:$U$504,0)),"")="","",CHAR(10)&amp;IFERROR(INDEX($K$5:$K$504,MATCH($V$30*10+2,$U$5:$U$504,0)),""))&amp;IF(IFERROR(INDEX($K$5:$K$504,MATCH($V$30*10+3,$U$5:$U$504,0)),"")="","",CHAR(10)&amp;IFERROR(INDEX($K$5:$K$504,MATCH($V$30*10+3,$U$5:$U$504,0)),""))&amp;IF(IFERROR(INDEX($K$5:$K$504,MATCH($V$30*10+4,$U$5:$U$504,0)),"")="","",CHAR(10)&amp;IFERROR(INDEX($K$5:$K$504,MATCH($V$30*10+4,$U$5:$U$504,0)),""))&amp;IF(IFERROR(INDEX($K$5:$K$504,MATCH($V$30*10+5,$U$5:$U$504,0)),"")="","",CHAR(10)&amp;IFERROR(INDEX($K$5:$K$504,MATCH($V$30*10+5,$U$5:$U$504,0)),""))</x:f>
      </x:c>
      <x:c r="C12" s="52" t="str">
        <x:f>IFERROR(INDEX($K$5:$K$504,MATCH($V$31*10+1,$U$5:$U$504,0)),"")&amp;IF(IFERROR(INDEX($K$5:$K$504,MATCH($V$31*10+2,$U$5:$U$504,0)),"")="","",CHAR(10)&amp;IFERROR(INDEX($K$5:$K$504,MATCH($V$31*10+2,$U$5:$U$504,0)),""))&amp;IF(IFERROR(INDEX($K$5:$K$504,MATCH($V$31*10+3,$U$5:$U$504,0)),"")="","",CHAR(10)&amp;IFERROR(INDEX($K$5:$K$504,MATCH($V$31*10+3,$U$5:$U$504,0)),""))&amp;IF(IFERROR(INDEX($K$5:$K$504,MATCH($V$31*10+4,$U$5:$U$504,0)),"")="","",CHAR(10)&amp;IFERROR(INDEX($K$5:$K$504,MATCH($V$31*10+4,$U$5:$U$504,0)),""))&amp;IF(IFERROR(INDEX($K$5:$K$504,MATCH($V$31*10+5,$U$5:$U$504,0)),"")="","",CHAR(10)&amp;IFERROR(INDEX($K$5:$K$504,MATCH($V$31*10+5,$U$5:$U$504,0)),""))</x:f>
      </x:c>
      <x:c r="D12" s="52" t="str">
        <x:f>IFERROR(INDEX($K$5:$K$504,MATCH($V$32*10+1,$U$5:$U$504,0)),"")&amp;IF(IFERROR(INDEX($K$5:$K$504,MATCH($V$32*10+2,$U$5:$U$504,0)),"")="","",CHAR(10)&amp;IFERROR(INDEX($K$5:$K$504,MATCH($V$32*10+2,$U$5:$U$504,0)),""))&amp;IF(IFERROR(INDEX($K$5:$K$504,MATCH($V$32*10+3,$U$5:$U$504,0)),"")="","",CHAR(10)&amp;IFERROR(INDEX($K$5:$K$504,MATCH($V$32*10+3,$U$5:$U$504,0)),""))&amp;IF(IFERROR(INDEX($K$5:$K$504,MATCH($V$32*10+4,$U$5:$U$504,0)),"")="","",CHAR(10)&amp;IFERROR(INDEX($K$5:$K$504,MATCH($V$32*10+4,$U$5:$U$504,0)),""))&amp;IF(IFERROR(INDEX($K$5:$K$504,MATCH($V$32*10+5,$U$5:$U$504,0)),"")="","",CHAR(10)&amp;IFERROR(INDEX($K$5:$K$504,MATCH($V$32*10+5,$U$5:$U$504,0)),""))</x:f>
      </x:c>
      <x:c r="E12" s="52" t="str">
        <x:f>IFERROR(INDEX($K$5:$K$504,MATCH($V$33*10+1,$U$5:$U$504,0)),"")&amp;IF(IFERROR(INDEX($K$5:$K$504,MATCH($V$33*10+2,$U$5:$U$504,0)),"")="","",CHAR(10)&amp;IFERROR(INDEX($K$5:$K$504,MATCH($V$33*10+2,$U$5:$U$504,0)),""))&amp;IF(IFERROR(INDEX($K$5:$K$504,MATCH($V$33*10+3,$U$5:$U$504,0)),"")="","",CHAR(10)&amp;IFERROR(INDEX($K$5:$K$504,MATCH($V$33*10+3,$U$5:$U$504,0)),""))&amp;IF(IFERROR(INDEX($K$5:$K$504,MATCH($V$33*10+4,$U$5:$U$504,0)),"")="","",CHAR(10)&amp;IFERROR(INDEX($K$5:$K$504,MATCH($V$33*10+4,$U$5:$U$504,0)),""))&amp;IF(IFERROR(INDEX($K$5:$K$504,MATCH($V$33*10+5,$U$5:$U$504,0)),"")="","",CHAR(10)&amp;IFERROR(INDEX($K$5:$K$504,MATCH($V$33*10+5,$U$5:$U$504,0)),""))</x:f>
      </x:c>
      <x:c r="F12" s="52" t="str">
        <x:f>IFERROR(INDEX($K$5:$K$504,MATCH($V$34*10+1,$U$5:$U$504,0)),"")&amp;IF(IFERROR(INDEX($K$5:$K$504,MATCH($V$34*10+2,$U$5:$U$504,0)),"")="","",CHAR(10)&amp;IFERROR(INDEX($K$5:$K$504,MATCH($V$34*10+2,$U$5:$U$504,0)),""))&amp;IF(IFERROR(INDEX($K$5:$K$504,MATCH($V$34*10+3,$U$5:$U$504,0)),"")="","",CHAR(10)&amp;IFERROR(INDEX($K$5:$K$504,MATCH($V$34*10+3,$U$5:$U$504,0)),""))&amp;IF(IFERROR(INDEX($K$5:$K$504,MATCH($V$34*10+4,$U$5:$U$504,0)),"")="","",CHAR(10)&amp;IFERROR(INDEX($K$5:$K$504,MATCH($V$34*10+4,$U$5:$U$504,0)),""))&amp;IF(IFERROR(INDEX($K$5:$K$504,MATCH($V$34*10+5,$U$5:$U$504,0)),"")="","",CHAR(10)&amp;IFERROR(INDEX($K$5:$K$504,MATCH($V$34*10+5,$U$5:$U$504,0)),""))</x:f>
      </x:c>
      <x:c r="G12" s="52" t="str">
        <x:f>IFERROR(INDEX($K$5:$K$504,MATCH($V$35*10+1,$U$5:$U$504,0)),"")&amp;IF(IFERROR(INDEX($K$5:$K$504,MATCH($V$35*10+2,$U$5:$U$504,0)),"")="","",CHAR(10)&amp;IFERROR(INDEX($K$5:$K$504,MATCH($V$35*10+2,$U$5:$U$504,0)),""))&amp;IF(IFERROR(INDEX($K$5:$K$504,MATCH($V$35*10+3,$U$5:$U$504,0)),"")="","",CHAR(10)&amp;IFERROR(INDEX($K$5:$K$504,MATCH($V$35*10+3,$U$5:$U$504,0)),""))&amp;IF(IFERROR(INDEX($K$5:$K$504,MATCH($V$35*10+4,$U$5:$U$504,0)),"")="","",CHAR(10)&amp;IFERROR(INDEX($K$5:$K$504,MATCH($V$35*10+4,$U$5:$U$504,0)),""))&amp;IF(IFERROR(INDEX($K$5:$K$504,MATCH($V$35*10+5,$U$5:$U$504,0)),"")="","",CHAR(10)&amp;IFERROR(INDEX($K$5:$K$504,MATCH($V$35*10+5,$U$5:$U$504,0)),""))</x:f>
      </x:c>
      <x:c r="H12" s="53" t="str">
        <x:f>IFERROR(INDEX($K$5:$K$504,MATCH($V$36*10+1,$U$5:$U$504,0)),"")&amp;IF(IFERROR(INDEX($K$5:$K$504,MATCH($V$36*10+2,$U$5:$U$504,0)),"")="","",CHAR(10)&amp;IFERROR(INDEX($K$5:$K$504,MATCH($V$36*10+2,$U$5:$U$504,0)),""))&amp;IF(IFERROR(INDEX($K$5:$K$504,MATCH($V$36*10+3,$U$5:$U$504,0)),"")="","",CHAR(10)&amp;IFERROR(INDEX($K$5:$K$504,MATCH($V$36*10+3,$U$5:$U$504,0)),""))&amp;IF(IFERROR(INDEX($K$5:$K$504,MATCH($V$36*10+4,$U$5:$U$504,0)),"")="","",CHAR(10)&amp;IFERROR(INDEX($K$5:$K$504,MATCH($V$36*10+4,$U$5:$U$504,0)),""))&amp;IF(IFERROR(INDEX($K$5:$K$504,MATCH($V$36*10+5,$U$5:$U$504,0)),"")="","",CHAR(10)&amp;IFERROR(INDEX($K$5:$K$504,MATCH($V$36*10+5,$U$5:$U$504,0)),""))</x:f>
      </x:c>
      <x:c r="I12" s="1"/>
      <x:c r="J12" s="37" t="str"/>
      <x:c r="K12" s="33" t="str"/>
      <x:c r="L12" s="33" t="str"/>
      <x:c r="M12" s="38" t="str"/>
      <x:c r="N12" s="33" t="str"/>
      <x:c r="O12" s="36" t="str"/>
      <x:c r="P12" s="39" t="str"/>
      <x:c r="Q12" s="39" t="str"/>
      <x:c r="R12" s="45" t="str">
        <x:f>IF(OR(J12="",Q12&lt;&gt;""),"",COUNTIF($J$5:J12,J12))</x:f>
      </x:c>
      <x:c r="S12" s="44" t="n">
        <x:f>IF(11&lt;=DAY(EOMONTH(DATE($G$1,$H$1,1),0)),DATE($G$1,$H$1,11),"")</x:f>
        <x:v>46245</x:v>
      </x:c>
      <x:c r="T12" s="43"/>
      <x:c r="U12" s="45" t="str">
        <x:f>IF(OR(J12="",Q12&lt;&gt;""),"",J12*10+R12)</x:f>
      </x:c>
      <x:c r="V12" s="46" t="n">
        <x:f>DATE($G$1,$H$1,1)-WEEKDAY(DATE($G$1,$H$1,1),1)+1+10</x:f>
        <x:v>46239</x:v>
      </x:c>
      <x:c r="W12" s="45" t="str">
        <x:f>IFERROR(INDEX('공휴일'!$B$2:$B$306,MATCH(V12,'공휴일'!$A$2:$A$306,0)),"")</x:f>
      </x:c>
    </x:row>
    <x:row r="13" ht="22" customHeight="1">
      <x:c r="B13" s="47" t="str">
        <x:f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30</x:v>
      </x:c>
      <x:c r="C13" s="48" t="str">
        <x:f t="shared" ref="C13:H13" si="5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31</x:v>
      </x:c>
      <x:c r="D13" s="48" t="str">
        <x:f t="shared" si="5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1</x:v>
      </x:c>
      <x:c r="E13" s="48" t="str">
        <x:f t="shared" si="5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2</x:v>
      </x:c>
      <x:c r="F13" s="48" t="str">
        <x:f t="shared" si="5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3</x:v>
      </x:c>
      <x:c r="G13" s="48" t="str">
        <x:f t="shared" si="5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4</x:v>
      </x:c>
      <x:c r="H13" s="49" t="str">
        <x:f t="shared" si="5">IF(INDEX($W$2:$W$43,(ROW()-3)/2*7+COLUMN()-1)&lt;&gt;"",INDEX($W$2:$W$43,(ROW()-3)/2*7+COLUMN()-1)&amp;REPT(" ",MAX(2,18-LEN(INDEX($W$2:$W$43,(ROW()-3)/2*7+COLUMN()-1))))&amp;DAY(INDEX($V$2:$V$43,(ROW()-3)/2*7+COLUMN()-1)),REPT(" ",16-LEN(DAY(INDEX($V$2:$V$43,(ROW()-3)/2*7+COLUMN()-1))))&amp;DAY(INDEX($V$2:$V$43,(ROW()-3)/2*7+COLUMN()-1)))</x:f>
        <x:v>               5</x:v>
      </x:c>
      <x:c r="I13" s="1"/>
      <x:c r="J13" s="37" t="str"/>
      <x:c r="K13" s="33" t="str"/>
      <x:c r="L13" s="33" t="str"/>
      <x:c r="M13" s="38" t="str"/>
      <x:c r="N13" s="33" t="str"/>
      <x:c r="O13" s="36" t="str"/>
      <x:c r="P13" s="39" t="str"/>
      <x:c r="Q13" s="39" t="str"/>
      <x:c r="R13" s="45" t="str">
        <x:f>IF(OR(J13="",Q13&lt;&gt;""),"",COUNTIF($J$5:J13,J13))</x:f>
      </x:c>
      <x:c r="S13" s="44" t="n">
        <x:f>IF(12&lt;=DAY(EOMONTH(DATE($G$1,$H$1,1),0)),DATE($G$1,$H$1,12),"")</x:f>
        <x:v>46246</x:v>
      </x:c>
      <x:c r="T13" s="43"/>
      <x:c r="U13" s="45" t="str">
        <x:f>IF(OR(J13="",Q13&lt;&gt;""),"",J13*10+R13)</x:f>
      </x:c>
      <x:c r="V13" s="46" t="n">
        <x:f>DATE($G$1,$H$1,1)-WEEKDAY(DATE($G$1,$H$1,1),1)+1+11</x:f>
        <x:v>46240</x:v>
      </x:c>
      <x:c r="W13" s="45" t="str">
        <x:f>IFERROR(INDEX('공휴일'!$B$2:$B$306,MATCH(V13,'공휴일'!$A$2:$A$306,0)),"")</x:f>
      </x:c>
    </x:row>
    <x:row r="14" ht="72" customHeight="1">
      <x:c r="B14" s="54" t="str">
        <x:f>IFERROR(INDEX($K$5:$K$504,MATCH($V$37*10+1,$U$5:$U$504,0)),"")&amp;IF(IFERROR(INDEX($K$5:$K$504,MATCH($V$37*10+2,$U$5:$U$504,0)),"")="","",CHAR(10)&amp;IFERROR(INDEX($K$5:$K$504,MATCH($V$37*10+2,$U$5:$U$504,0)),""))&amp;IF(IFERROR(INDEX($K$5:$K$504,MATCH($V$37*10+3,$U$5:$U$504,0)),"")="","",CHAR(10)&amp;IFERROR(INDEX($K$5:$K$504,MATCH($V$37*10+3,$U$5:$U$504,0)),""))&amp;IF(IFERROR(INDEX($K$5:$K$504,MATCH($V$37*10+4,$U$5:$U$504,0)),"")="","",CHAR(10)&amp;IFERROR(INDEX($K$5:$K$504,MATCH($V$37*10+4,$U$5:$U$504,0)),""))&amp;IF(IFERROR(INDEX($K$5:$K$504,MATCH($V$37*10+5,$U$5:$U$504,0)),"")="","",CHAR(10)&amp;IFERROR(INDEX($K$5:$K$504,MATCH($V$37*10+5,$U$5:$U$504,0)),""))</x:f>
      </x:c>
      <x:c r="C14" s="55" t="str">
        <x:f>IFERROR(INDEX($K$5:$K$504,MATCH($V$38*10+1,$U$5:$U$504,0)),"")&amp;IF(IFERROR(INDEX($K$5:$K$504,MATCH($V$38*10+2,$U$5:$U$504,0)),"")="","",CHAR(10)&amp;IFERROR(INDEX($K$5:$K$504,MATCH($V$38*10+2,$U$5:$U$504,0)),""))&amp;IF(IFERROR(INDEX($K$5:$K$504,MATCH($V$38*10+3,$U$5:$U$504,0)),"")="","",CHAR(10)&amp;IFERROR(INDEX($K$5:$K$504,MATCH($V$38*10+3,$U$5:$U$504,0)),""))&amp;IF(IFERROR(INDEX($K$5:$K$504,MATCH($V$38*10+4,$U$5:$U$504,0)),"")="","",CHAR(10)&amp;IFERROR(INDEX($K$5:$K$504,MATCH($V$38*10+4,$U$5:$U$504,0)),""))&amp;IF(IFERROR(INDEX($K$5:$K$504,MATCH($V$38*10+5,$U$5:$U$504,0)),"")="","",CHAR(10)&amp;IFERROR(INDEX($K$5:$K$504,MATCH($V$38*10+5,$U$5:$U$504,0)),""))</x:f>
      </x:c>
      <x:c r="D14" s="55" t="str">
        <x:f>IFERROR(INDEX($K$5:$K$504,MATCH($V$39*10+1,$U$5:$U$504,0)),"")&amp;IF(IFERROR(INDEX($K$5:$K$504,MATCH($V$39*10+2,$U$5:$U$504,0)),"")="","",CHAR(10)&amp;IFERROR(INDEX($K$5:$K$504,MATCH($V$39*10+2,$U$5:$U$504,0)),""))&amp;IF(IFERROR(INDEX($K$5:$K$504,MATCH($V$39*10+3,$U$5:$U$504,0)),"")="","",CHAR(10)&amp;IFERROR(INDEX($K$5:$K$504,MATCH($V$39*10+3,$U$5:$U$504,0)),""))&amp;IF(IFERROR(INDEX($K$5:$K$504,MATCH($V$39*10+4,$U$5:$U$504,0)),"")="","",CHAR(10)&amp;IFERROR(INDEX($K$5:$K$504,MATCH($V$39*10+4,$U$5:$U$504,0)),""))&amp;IF(IFERROR(INDEX($K$5:$K$504,MATCH($V$39*10+5,$U$5:$U$504,0)),"")="","",CHAR(10)&amp;IFERROR(INDEX($K$5:$K$504,MATCH($V$39*10+5,$U$5:$U$504,0)),""))</x:f>
      </x:c>
      <x:c r="E14" s="55" t="str">
        <x:f>IFERROR(INDEX($K$5:$K$504,MATCH($V$40*10+1,$U$5:$U$504,0)),"")&amp;IF(IFERROR(INDEX($K$5:$K$504,MATCH($V$40*10+2,$U$5:$U$504,0)),"")="","",CHAR(10)&amp;IFERROR(INDEX($K$5:$K$504,MATCH($V$40*10+2,$U$5:$U$504,0)),""))&amp;IF(IFERROR(INDEX($K$5:$K$504,MATCH($V$40*10+3,$U$5:$U$504,0)),"")="","",CHAR(10)&amp;IFERROR(INDEX($K$5:$K$504,MATCH($V$40*10+3,$U$5:$U$504,0)),""))&amp;IF(IFERROR(INDEX($K$5:$K$504,MATCH($V$40*10+4,$U$5:$U$504,0)),"")="","",CHAR(10)&amp;IFERROR(INDEX($K$5:$K$504,MATCH($V$40*10+4,$U$5:$U$504,0)),""))&amp;IF(IFERROR(INDEX($K$5:$K$504,MATCH($V$40*10+5,$U$5:$U$504,0)),"")="","",CHAR(10)&amp;IFERROR(INDEX($K$5:$K$504,MATCH($V$40*10+5,$U$5:$U$504,0)),""))</x:f>
      </x:c>
      <x:c r="F14" s="55" t="str">
        <x:f>IFERROR(INDEX($K$5:$K$504,MATCH($V$41*10+1,$U$5:$U$504,0)),"")&amp;IF(IFERROR(INDEX($K$5:$K$504,MATCH($V$41*10+2,$U$5:$U$504,0)),"")="","",CHAR(10)&amp;IFERROR(INDEX($K$5:$K$504,MATCH($V$41*10+2,$U$5:$U$504,0)),""))&amp;IF(IFERROR(INDEX($K$5:$K$504,MATCH($V$41*10+3,$U$5:$U$504,0)),"")="","",CHAR(10)&amp;IFERROR(INDEX($K$5:$K$504,MATCH($V$41*10+3,$U$5:$U$504,0)),""))&amp;IF(IFERROR(INDEX($K$5:$K$504,MATCH($V$41*10+4,$U$5:$U$504,0)),"")="","",CHAR(10)&amp;IFERROR(INDEX($K$5:$K$504,MATCH($V$41*10+4,$U$5:$U$504,0)),""))&amp;IF(IFERROR(INDEX($K$5:$K$504,MATCH($V$41*10+5,$U$5:$U$504,0)),"")="","",CHAR(10)&amp;IFERROR(INDEX($K$5:$K$504,MATCH($V$41*10+5,$U$5:$U$504,0)),""))</x:f>
      </x:c>
      <x:c r="G14" s="55" t="str">
        <x:f>IFERROR(INDEX($K$5:$K$504,MATCH($V$42*10+1,$U$5:$U$504,0)),"")&amp;IF(IFERROR(INDEX($K$5:$K$504,MATCH($V$42*10+2,$U$5:$U$504,0)),"")="","",CHAR(10)&amp;IFERROR(INDEX($K$5:$K$504,MATCH($V$42*10+2,$U$5:$U$504,0)),""))&amp;IF(IFERROR(INDEX($K$5:$K$504,MATCH($V$42*10+3,$U$5:$U$504,0)),"")="","",CHAR(10)&amp;IFERROR(INDEX($K$5:$K$504,MATCH($V$42*10+3,$U$5:$U$504,0)),""))&amp;IF(IFERROR(INDEX($K$5:$K$504,MATCH($V$42*10+4,$U$5:$U$504,0)),"")="","",CHAR(10)&amp;IFERROR(INDEX($K$5:$K$504,MATCH($V$42*10+4,$U$5:$U$504,0)),""))&amp;IF(IFERROR(INDEX($K$5:$K$504,MATCH($V$42*10+5,$U$5:$U$504,0)),"")="","",CHAR(10)&amp;IFERROR(INDEX($K$5:$K$504,MATCH($V$42*10+5,$U$5:$U$504,0)),""))</x:f>
      </x:c>
      <x:c r="H14" s="56" t="str">
        <x:f>IFERROR(INDEX($K$5:$K$504,MATCH($V$43*10+1,$U$5:$U$504,0)),"")&amp;IF(IFERROR(INDEX($K$5:$K$504,MATCH($V$43*10+2,$U$5:$U$504,0)),"")="","",CHAR(10)&amp;IFERROR(INDEX($K$5:$K$504,MATCH($V$43*10+2,$U$5:$U$504,0)),""))&amp;IF(IFERROR(INDEX($K$5:$K$504,MATCH($V$43*10+3,$U$5:$U$504,0)),"")="","",CHAR(10)&amp;IFERROR(INDEX($K$5:$K$504,MATCH($V$43*10+3,$U$5:$U$504,0)),""))&amp;IF(IFERROR(INDEX($K$5:$K$504,MATCH($V$43*10+4,$U$5:$U$504,0)),"")="","",CHAR(10)&amp;IFERROR(INDEX($K$5:$K$504,MATCH($V$43*10+4,$U$5:$U$504,0)),""))&amp;IF(IFERROR(INDEX($K$5:$K$504,MATCH($V$43*10+5,$U$5:$U$504,0)),"")="","",CHAR(10)&amp;IFERROR(INDEX($K$5:$K$504,MATCH($V$43*10+5,$U$5:$U$504,0)),""))</x:f>
      </x:c>
      <x:c r="I14" s="2"/>
      <x:c r="J14" s="37" t="str"/>
      <x:c r="K14" s="33" t="str"/>
      <x:c r="L14" s="33" t="str"/>
      <x:c r="M14" s="38" t="str"/>
      <x:c r="N14" s="33" t="str"/>
      <x:c r="O14" s="36" t="str"/>
      <x:c r="P14" s="39" t="str"/>
      <x:c r="Q14" s="39" t="str"/>
      <x:c r="R14" s="45" t="str">
        <x:f>IF(OR(J14="",Q14&lt;&gt;""),"",COUNTIF($J$5:J14,J14))</x:f>
      </x:c>
      <x:c r="S14" s="44" t="n">
        <x:f>IF(13&lt;=DAY(EOMONTH(DATE($G$1,$H$1,1),0)),DATE($G$1,$H$1,13),"")</x:f>
        <x:v>46247</x:v>
      </x:c>
      <x:c r="T14" s="43"/>
      <x:c r="U14" s="45" t="str">
        <x:f>IF(OR(J14="",Q14&lt;&gt;""),"",J14*10+R14)</x:f>
      </x:c>
      <x:c r="V14" s="46" t="n">
        <x:f>DATE($G$1,$H$1,1)-WEEKDAY(DATE($G$1,$H$1,1),1)+1+12</x:f>
        <x:v>46241</x:v>
      </x:c>
      <x:c r="W14" s="45" t="str">
        <x:f>IFERROR(INDEX('공휴일'!$B$2:$B$306,MATCH(V14,'공휴일'!$A$2:$A$306,0)),"")</x:f>
      </x:c>
    </x:row>
    <x:row r="15" ht="22" customHeight="1">
      <x:c r="J15" s="37" t="str"/>
      <x:c r="K15" s="33" t="str"/>
      <x:c r="L15" s="33" t="str"/>
      <x:c r="M15" s="38" t="str"/>
      <x:c r="N15" s="33" t="str"/>
      <x:c r="O15" s="36" t="str"/>
      <x:c r="P15" s="39" t="str"/>
      <x:c r="Q15" s="39" t="str"/>
      <x:c r="R15" s="45" t="str">
        <x:f>IF(OR(J15="",Q15&lt;&gt;""),"",COUNTIF($J$5:J15,J15))</x:f>
      </x:c>
      <x:c r="S15" s="44" t="n">
        <x:f>IF(14&lt;=DAY(EOMONTH(DATE($G$1,$H$1,1),0)),DATE($G$1,$H$1,14),"")</x:f>
        <x:v>46248</x:v>
      </x:c>
      <x:c r="T15" s="43"/>
      <x:c r="U15" s="45" t="str">
        <x:f>IF(OR(J15="",Q15&lt;&gt;""),"",J15*10+R15)</x:f>
      </x:c>
      <x:c r="V15" s="46" t="n">
        <x:f>DATE($G$1,$H$1,1)-WEEKDAY(DATE($G$1,$H$1,1),1)+1+13</x:f>
        <x:v>46242</x:v>
      </x:c>
      <x:c r="W15" s="45" t="str">
        <x:f>IFERROR(INDEX('공휴일'!$B$2:$B$306,MATCH(V15,'공휴일'!$A$2:$A$306,0)),"")</x:f>
      </x:c>
    </x:row>
    <x:row r="16" ht="22" customHeight="1">
      <x:c r="J16" s="37" t="str"/>
      <x:c r="K16" s="33" t="str"/>
      <x:c r="L16" s="33" t="str"/>
      <x:c r="M16" s="38" t="str"/>
      <x:c r="N16" s="33" t="str"/>
      <x:c r="O16" s="36" t="str"/>
      <x:c r="P16" s="39" t="str"/>
      <x:c r="Q16" s="39" t="str"/>
      <x:c r="R16" s="45" t="str">
        <x:f>IF(OR(J16="",Q16&lt;&gt;""),"",COUNTIF($J$5:J16,J16))</x:f>
      </x:c>
      <x:c r="S16" s="44" t="n">
        <x:f>IF(15&lt;=DAY(EOMONTH(DATE($G$1,$H$1,1),0)),DATE($G$1,$H$1,15),"")</x:f>
        <x:v>46249</x:v>
      </x:c>
      <x:c r="T16" s="43"/>
      <x:c r="U16" s="45" t="str">
        <x:f>IF(OR(J16="",Q16&lt;&gt;""),"",J16*10+R16)</x:f>
      </x:c>
      <x:c r="V16" s="46" t="n">
        <x:f>DATE($G$1,$H$1,1)-WEEKDAY(DATE($G$1,$H$1,1),1)+1+14</x:f>
        <x:v>46243</x:v>
      </x:c>
      <x:c r="W16" s="45" t="str">
        <x:f>IFERROR(INDEX('공휴일'!$B$2:$B$306,MATCH(V16,'공휴일'!$A$2:$A$306,0)),"")</x:f>
      </x:c>
    </x:row>
    <x:row r="17" ht="30" customHeight="1">
      <x:c r="B17" s="58" t="str">
        <x:v>Cellendar 사용 방법</x:v>
      </x:c>
      <x:c r="C17" s="58"/>
      <x:c r="D17" s="58"/>
      <x:c r="E17" s="58"/>
      <x:c r="F17" s="58"/>
      <x:c r="G17" s="58"/>
      <x:c r="H17" s="58"/>
      <x:c r="I17" s="58"/>
      <x:c r="J17" s="37" t="str"/>
      <x:c r="K17" s="33" t="str"/>
      <x:c r="L17" s="33" t="str"/>
      <x:c r="M17" s="38" t="str"/>
      <x:c r="N17" s="33" t="str"/>
      <x:c r="O17" s="36" t="str"/>
      <x:c r="P17" s="39" t="str"/>
      <x:c r="Q17" s="39" t="str"/>
      <x:c r="R17" s="45" t="str">
        <x:f>IF(OR(J17="",Q17&lt;&gt;""),"",COUNTIF($J$5:J17,J17))</x:f>
      </x:c>
      <x:c r="S17" s="44" t="n">
        <x:f>IF(16&lt;=DAY(EOMONTH(DATE($G$1,$H$1,1),0)),DATE($G$1,$H$1,16),"")</x:f>
        <x:v>46250</x:v>
      </x:c>
      <x:c r="T17" s="43"/>
      <x:c r="U17" s="45" t="str">
        <x:f>IF(OR(J17="",Q17&lt;&gt;""),"",J17*10+R17)</x:f>
      </x:c>
      <x:c r="V17" s="46" t="n">
        <x:f>DATE($G$1,$H$1,1)-WEEKDAY(DATE($G$1,$H$1,1),1)+1+15</x:f>
        <x:v>46244</x:v>
      </x:c>
      <x:c r="W17" s="45" t="str">
        <x:f>IFERROR(INDEX('공휴일'!$B$2:$B$306,MATCH(V17,'공휴일'!$A$2:$A$306,0)),"")</x:f>
      </x:c>
    </x:row>
    <x:row r="18" ht="27" customHeight="1">
      <x:c r="B18" s="59" t="str">
        <x:v>1. 일정 입력</x:v>
      </x:c>
      <x:c r="C18" s="59"/>
      <x:c r="D18" s="62" t="str">
        <x:v>오른쪽 노란 표에서 날짜와 색상을 목록으로 선택하고 제목을 입력하세요.</x:v>
      </x:c>
      <x:c r="E18" s="62"/>
      <x:c r="F18" s="62"/>
      <x:c r="G18" s="62"/>
      <x:c r="H18" s="62"/>
      <x:c r="I18" s="62"/>
      <x:c r="J18" s="37" t="str"/>
      <x:c r="K18" s="33" t="str"/>
      <x:c r="L18" s="33" t="str"/>
      <x:c r="M18" s="38" t="str"/>
      <x:c r="N18" s="33" t="str"/>
      <x:c r="O18" s="36" t="str"/>
      <x:c r="P18" s="39" t="str"/>
      <x:c r="Q18" s="39" t="str"/>
      <x:c r="R18" s="45" t="str">
        <x:f>IF(OR(J18="",Q18&lt;&gt;""),"",COUNTIF($J$5:J18,J18))</x:f>
      </x:c>
      <x:c r="S18" s="44" t="n">
        <x:f>IF(17&lt;=DAY(EOMONTH(DATE($G$1,$H$1,1),0)),DATE($G$1,$H$1,17),"")</x:f>
        <x:v>46251</x:v>
      </x:c>
      <x:c r="T18" s="43"/>
      <x:c r="U18" s="45" t="str">
        <x:f>IF(OR(J18="",Q18&lt;&gt;""),"",J18*10+R18)</x:f>
      </x:c>
      <x:c r="V18" s="46" t="n">
        <x:f>DATE($G$1,$H$1,1)-WEEKDAY(DATE($G$1,$H$1,1),1)+1+16</x:f>
        <x:v>46245</x:v>
      </x:c>
      <x:c r="W18" s="45" t="str">
        <x:f>IFERROR(INDEX('공휴일'!$B$2:$B$306,MATCH(V18,'공휴일'!$A$2:$A$306,0)),"")</x:f>
      </x:c>
    </x:row>
    <x:row r="19" ht="27" customHeight="1">
      <x:c r="B19" s="59" t="str">
        <x:v>2. 달력 표시</x:v>
      </x:c>
      <x:c r="C19" s="59"/>
      <x:c r="D19" s="62" t="str">
        <x:v>같은 날짜의 일정은 달력 칸에 줄바꿈으로 최대 5개까지 표시됩니다.</x:v>
      </x:c>
      <x:c r="E19" s="62"/>
      <x:c r="F19" s="62"/>
      <x:c r="G19" s="62"/>
      <x:c r="H19" s="62"/>
      <x:c r="I19" s="62"/>
      <x:c r="J19" s="37" t="str"/>
      <x:c r="K19" s="33" t="str"/>
      <x:c r="L19" s="33" t="str"/>
      <x:c r="M19" s="38" t="str"/>
      <x:c r="N19" s="33" t="str"/>
      <x:c r="O19" s="36" t="str"/>
      <x:c r="P19" s="39" t="str"/>
      <x:c r="Q19" s="39" t="str"/>
      <x:c r="R19" s="45" t="str">
        <x:f>IF(OR(J19="",Q19&lt;&gt;""),"",COUNTIF($J$5:J19,J19))</x:f>
      </x:c>
      <x:c r="S19" s="44" t="n">
        <x:f>IF(18&lt;=DAY(EOMONTH(DATE($G$1,$H$1,1),0)),DATE($G$1,$H$1,18),"")</x:f>
        <x:v>46252</x:v>
      </x:c>
      <x:c r="T19" s="43"/>
      <x:c r="U19" s="45" t="str">
        <x:f>IF(OR(J19="",Q19&lt;&gt;""),"",J19*10+R19)</x:f>
      </x:c>
      <x:c r="V19" s="46" t="n">
        <x:f>DATE($G$1,$H$1,1)-WEEKDAY(DATE($G$1,$H$1,1),1)+1+17</x:f>
        <x:v>46246</x:v>
      </x:c>
      <x:c r="W19" s="45" t="str">
        <x:f>IFERROR(INDEX('공휴일'!$B$2:$B$306,MATCH(V19,'공휴일'!$A$2:$A$306,0)),"")</x:f>
      </x:c>
    </x:row>
    <x:row r="20" ht="27" customHeight="1">
      <x:c r="B20" s="59" t="str">
        <x:v>공휴일</x:v>
      </x:c>
      <x:c r="C20" s="59"/>
      <x:c r="D20" s="62" t="str">
        <x:v>공휴일 시트의 휴일명은 날짜 숫자 왼쪽에 표시되고 날짜와 함께 빨간색으로 표시됩니다.</x:v>
      </x:c>
      <x:c r="E20" s="62"/>
      <x:c r="F20" s="62"/>
      <x:c r="G20" s="62"/>
      <x:c r="H20" s="62"/>
      <x:c r="I20" s="62"/>
      <x:c r="J20" s="37" t="str"/>
      <x:c r="K20" s="33" t="str"/>
      <x:c r="L20" s="33" t="str"/>
      <x:c r="M20" s="38" t="str"/>
      <x:c r="N20" s="33" t="str"/>
      <x:c r="O20" s="36" t="str"/>
      <x:c r="P20" s="39" t="str"/>
      <x:c r="Q20" s="39" t="str"/>
      <x:c r="R20" s="45" t="str">
        <x:f>IF(OR(J20="",Q20&lt;&gt;""),"",COUNTIF($J$5:J20,J20))</x:f>
      </x:c>
      <x:c r="S20" s="44" t="n">
        <x:f>IF(19&lt;=DAY(EOMONTH(DATE($G$1,$H$1,1),0)),DATE($G$1,$H$1,19),"")</x:f>
        <x:v>46253</x:v>
      </x:c>
      <x:c r="T20" s="43"/>
      <x:c r="U20" s="45" t="str">
        <x:f>IF(OR(J20="",Q20&lt;&gt;""),"",J20*10+R20)</x:f>
      </x:c>
      <x:c r="V20" s="46" t="n">
        <x:f>DATE($G$1,$H$1,1)-WEEKDAY(DATE($G$1,$H$1,1),1)+1+18</x:f>
        <x:v>46247</x:v>
      </x:c>
      <x:c r="W20" s="45" t="str">
        <x:f>IFERROR(INDEX('공휴일'!$B$2:$B$306,MATCH(V20,'공휴일'!$A$2:$A$306,0)),"")</x:f>
      </x:c>
    </x:row>
    <x:row r="21" ht="27" customHeight="1">
      <x:c r="B21" s="59" t="str">
        <x:v>3. 다음 달</x:v>
      </x:c>
      <x:c r="C21" s="59"/>
      <x:c r="D21" s="62" t="str">
        <x:v>상단의 연도와 월 숫자만 바꾸면 달력과 날짜 선택 목록이 함께 변경됩니다.</x:v>
      </x:c>
      <x:c r="E21" s="62"/>
      <x:c r="F21" s="62"/>
      <x:c r="G21" s="62"/>
      <x:c r="H21" s="62"/>
      <x:c r="I21" s="62"/>
      <x:c r="J21" s="37" t="str"/>
      <x:c r="K21" s="33" t="str"/>
      <x:c r="L21" s="33" t="str"/>
      <x:c r="M21" s="38" t="str"/>
      <x:c r="N21" s="33" t="str"/>
      <x:c r="O21" s="36" t="str"/>
      <x:c r="P21" s="39" t="str"/>
      <x:c r="Q21" s="39" t="str"/>
      <x:c r="R21" s="45" t="str">
        <x:f>IF(OR(J21="",Q21&lt;&gt;""),"",COUNTIF($J$5:J21,J21))</x:f>
      </x:c>
      <x:c r="S21" s="44" t="n">
        <x:f>IF(20&lt;=DAY(EOMONTH(DATE($G$1,$H$1,1),0)),DATE($G$1,$H$1,20),"")</x:f>
        <x:v>46254</x:v>
      </x:c>
      <x:c r="T21" s="43"/>
      <x:c r="U21" s="45" t="str">
        <x:f>IF(OR(J21="",Q21&lt;&gt;""),"",J21*10+R21)</x:f>
      </x:c>
      <x:c r="V21" s="46" t="n">
        <x:f>DATE($G$1,$H$1,1)-WEEKDAY(DATE($G$1,$H$1,1),1)+1+19</x:f>
        <x:v>46248</x:v>
      </x:c>
      <x:c r="W21" s="45" t="str">
        <x:f>IFERROR(INDEX('공휴일'!$B$2:$B$306,MATCH(V21,'공휴일'!$A$2:$A$306,0)),"")</x:f>
      </x:c>
    </x:row>
    <x:row r="22" ht="27" customHeight="1">
      <x:c r="B22" s="59" t="str">
        <x:v>4. 비고 사용</x:v>
      </x:c>
      <x:c r="C22" s="59"/>
      <x:c r="D22" s="62" t="str">
        <x:v>초록색 비고 영역은 동기화와 관계없이 자유롭게 작성할 수 있습니다.</x:v>
      </x:c>
      <x:c r="E22" s="62"/>
      <x:c r="F22" s="62"/>
      <x:c r="G22" s="62"/>
      <x:c r="H22" s="62"/>
      <x:c r="I22" s="62"/>
      <x:c r="J22" s="37" t="str"/>
      <x:c r="K22" s="33" t="str"/>
      <x:c r="L22" s="33" t="str"/>
      <x:c r="M22" s="38" t="str"/>
      <x:c r="N22" s="33" t="str"/>
      <x:c r="O22" s="36" t="str"/>
      <x:c r="P22" s="39" t="str"/>
      <x:c r="Q22" s="39" t="str"/>
      <x:c r="R22" s="45" t="str">
        <x:f>IF(OR(J22="",Q22&lt;&gt;""),"",COUNTIF($J$5:J22,J22))</x:f>
      </x:c>
      <x:c r="S22" s="44" t="n">
        <x:f>IF(21&lt;=DAY(EOMONTH(DATE($G$1,$H$1,1),0)),DATE($G$1,$H$1,21),"")</x:f>
        <x:v>46255</x:v>
      </x:c>
      <x:c r="T22" s="43"/>
      <x:c r="U22" s="45" t="str">
        <x:f>IF(OR(J22="",Q22&lt;&gt;""),"",J22*10+R22)</x:f>
      </x:c>
      <x:c r="V22" s="46" t="n">
        <x:f>DATE($G$1,$H$1,1)-WEEKDAY(DATE($G$1,$H$1,1),1)+1+20</x:f>
        <x:v>46249</x:v>
      </x:c>
      <x:c r="W22" s="45" t="str">
        <x:f>IFERROR(INDEX('공휴일'!$B$2:$B$306,MATCH(V22,'공휴일'!$A$2:$A$306,0)),"")</x:f>
        <x:v>광복절</x:v>
      </x:c>
    </x:row>
    <x:row r="23" ht="27" customHeight="1">
      <x:c r="B23" s="59" t="str">
        <x:v>5. 앱 동기화</x:v>
      </x:c>
      <x:c r="C23" s="59"/>
      <x:c r="D23" s="62" t="str">
        <x:v>엑셀을 OneDrive의 Cellendar 폴더에 저장한 뒤 앱의 동기화 버튼을 누르세요.</x:v>
      </x:c>
      <x:c r="E23" s="62"/>
      <x:c r="F23" s="62"/>
      <x:c r="G23" s="62"/>
      <x:c r="H23" s="62"/>
      <x:c r="I23" s="62"/>
      <x:c r="J23" s="37" t="str"/>
      <x:c r="K23" s="33" t="str"/>
      <x:c r="L23" s="33" t="str"/>
      <x:c r="M23" s="38" t="str"/>
      <x:c r="N23" s="33" t="str"/>
      <x:c r="O23" s="36" t="str"/>
      <x:c r="P23" s="39" t="str"/>
      <x:c r="Q23" s="39" t="str"/>
      <x:c r="R23" s="45" t="str">
        <x:f>IF(OR(J23="",Q23&lt;&gt;""),"",COUNTIF($J$5:J23,J23))</x:f>
      </x:c>
      <x:c r="S23" s="44" t="n">
        <x:f>IF(22&lt;=DAY(EOMONTH(DATE($G$1,$H$1,1),0)),DATE($G$1,$H$1,22),"")</x:f>
        <x:v>46256</x:v>
      </x:c>
      <x:c r="T23" s="43"/>
      <x:c r="U23" s="45" t="str">
        <x:f>IF(OR(J23="",Q23&lt;&gt;""),"",J23*10+R23)</x:f>
      </x:c>
      <x:c r="V23" s="46" t="n">
        <x:f>DATE($G$1,$H$1,1)-WEEKDAY(DATE($G$1,$H$1,1),1)+1+21</x:f>
        <x:v>46250</x:v>
      </x:c>
      <x:c r="W23" s="45" t="str">
        <x:f>IFERROR(INDEX('공휴일'!$B$2:$B$306,MATCH(V23,'공휴일'!$A$2:$A$306,0)),"")</x:f>
      </x:c>
    </x:row>
    <x:row r="24" ht="27" customHeight="1">
      <x:c r="B24" s="59" t="str">
        <x:v>6. 수정·삭제</x:v>
      </x:c>
      <x:c r="C24" s="59"/>
      <x:c r="D24" s="62" t="str">
        <x:v>휴대폰 앱에서 일정을 누르면 수정하거나 삭제할 수 있습니다.</x:v>
      </x:c>
      <x:c r="E24" s="62"/>
      <x:c r="F24" s="62"/>
      <x:c r="G24" s="62"/>
      <x:c r="H24" s="62"/>
      <x:c r="I24" s="62"/>
      <x:c r="J24" s="37" t="str"/>
      <x:c r="K24" s="33" t="str"/>
      <x:c r="L24" s="33" t="str"/>
      <x:c r="M24" s="38" t="str"/>
      <x:c r="N24" s="33" t="str"/>
      <x:c r="O24" s="36" t="str"/>
      <x:c r="P24" s="39" t="str"/>
      <x:c r="Q24" s="39" t="str"/>
      <x:c r="R24" s="45" t="str">
        <x:f>IF(OR(J24="",Q24&lt;&gt;""),"",COUNTIF($J$5:J24,J24))</x:f>
      </x:c>
      <x:c r="S24" s="44" t="n">
        <x:f>IF(23&lt;=DAY(EOMONTH(DATE($G$1,$H$1,1),0)),DATE($G$1,$H$1,23),"")</x:f>
        <x:v>46257</x:v>
      </x:c>
      <x:c r="T24" s="43"/>
      <x:c r="U24" s="45" t="str">
        <x:f>IF(OR(J24="",Q24&lt;&gt;""),"",J24*10+R24)</x:f>
      </x:c>
      <x:c r="V24" s="46" t="n">
        <x:f>DATE($G$1,$H$1,1)-WEEKDAY(DATE($G$1,$H$1,1),1)+1+22</x:f>
        <x:v>46251</x:v>
      </x:c>
      <x:c r="W24" s="45" t="str">
        <x:f>IFERROR(INDEX('공휴일'!$B$2:$B$306,MATCH(V24,'공휴일'!$A$2:$A$306,0)),"")</x:f>
        <x:v>광복절 대체 휴일</x:v>
      </x:c>
    </x:row>
    <x:row r="25" ht="27" customHeight="1">
      <x:c r="B25" s="64" t="str">
        <x:v>주의</x:v>
      </x:c>
      <x:c r="C25" s="64"/>
      <x:c r="D25" s="67" t="str">
        <x:v>회색 ID·수정시간·삭제시간 칸과 내부 조회 영역은 수정하지 마세요.</x:v>
      </x:c>
      <x:c r="E25" s="67"/>
      <x:c r="F25" s="67"/>
      <x:c r="G25" s="67"/>
      <x:c r="H25" s="67"/>
      <x:c r="I25" s="67"/>
      <x:c r="J25" s="37" t="str"/>
      <x:c r="K25" s="33" t="str"/>
      <x:c r="L25" s="33" t="str"/>
      <x:c r="M25" s="38" t="str"/>
      <x:c r="N25" s="33" t="str"/>
      <x:c r="O25" s="36" t="str"/>
      <x:c r="P25" s="39" t="str"/>
      <x:c r="Q25" s="39" t="str"/>
      <x:c r="R25" s="45" t="str">
        <x:f>IF(OR(J25="",Q25&lt;&gt;""),"",COUNTIF($J$5:J25,J25))</x:f>
      </x:c>
      <x:c r="S25" s="44" t="n">
        <x:f>IF(24&lt;=DAY(EOMONTH(DATE($G$1,$H$1,1),0)),DATE($G$1,$H$1,24),"")</x:f>
        <x:v>46258</x:v>
      </x:c>
      <x:c r="T25" s="43"/>
      <x:c r="U25" s="45" t="str">
        <x:f>IF(OR(J25="",Q25&lt;&gt;""),"",J25*10+R25)</x:f>
      </x:c>
      <x:c r="V25" s="46" t="n">
        <x:f>DATE($G$1,$H$1,1)-WEEKDAY(DATE($G$1,$H$1,1),1)+1+23</x:f>
        <x:v>46252</x:v>
      </x:c>
      <x:c r="W25" s="45" t="str">
        <x:f>IFERROR(INDEX('공휴일'!$B$2:$B$306,MATCH(V25,'공휴일'!$A$2:$A$306,0)),"")</x:f>
      </x:c>
    </x:row>
    <x:row r="26" ht="22" customHeight="1">
      <x:c r="J26" s="37" t="str"/>
      <x:c r="K26" s="33" t="str"/>
      <x:c r="L26" s="33" t="str"/>
      <x:c r="M26" s="38" t="str"/>
      <x:c r="N26" s="33" t="str"/>
      <x:c r="O26" s="36" t="str"/>
      <x:c r="P26" s="39" t="str"/>
      <x:c r="Q26" s="39" t="str"/>
      <x:c r="R26" s="45" t="str">
        <x:f>IF(OR(J26="",Q26&lt;&gt;""),"",COUNTIF($J$5:J26,J26))</x:f>
      </x:c>
      <x:c r="S26" s="44" t="n">
        <x:f>IF(25&lt;=DAY(EOMONTH(DATE($G$1,$H$1,1),0)),DATE($G$1,$H$1,25),"")</x:f>
        <x:v>46259</x:v>
      </x:c>
      <x:c r="T26" s="43"/>
      <x:c r="U26" s="45" t="str">
        <x:f>IF(OR(J26="",Q26&lt;&gt;""),"",J26*10+R26)</x:f>
      </x:c>
      <x:c r="V26" s="46" t="n">
        <x:f>DATE($G$1,$H$1,1)-WEEKDAY(DATE($G$1,$H$1,1),1)+1+24</x:f>
        <x:v>46253</x:v>
      </x:c>
      <x:c r="W26" s="45" t="str">
        <x:f>IFERROR(INDEX('공휴일'!$B$2:$B$306,MATCH(V26,'공휴일'!$A$2:$A$306,0)),"")</x:f>
      </x:c>
    </x:row>
    <x:row r="27" ht="22" customHeight="1">
      <x:c r="J27" s="37" t="str"/>
      <x:c r="K27" s="33" t="str"/>
      <x:c r="L27" s="33" t="str"/>
      <x:c r="M27" s="38" t="str"/>
      <x:c r="N27" s="33" t="str"/>
      <x:c r="O27" s="36" t="str"/>
      <x:c r="P27" s="39" t="str"/>
      <x:c r="Q27" s="39" t="str"/>
      <x:c r="R27" s="45" t="str">
        <x:f>IF(OR(J27="",Q27&lt;&gt;""),"",COUNTIF($J$5:J27,J27))</x:f>
      </x:c>
      <x:c r="S27" s="44" t="n">
        <x:f>IF(26&lt;=DAY(EOMONTH(DATE($G$1,$H$1,1),0)),DATE($G$1,$H$1,26),"")</x:f>
        <x:v>46260</x:v>
      </x:c>
      <x:c r="T27" s="43"/>
      <x:c r="U27" s="45" t="str">
        <x:f>IF(OR(J27="",Q27&lt;&gt;""),"",J27*10+R27)</x:f>
      </x:c>
      <x:c r="V27" s="46" t="n">
        <x:f>DATE($G$1,$H$1,1)-WEEKDAY(DATE($G$1,$H$1,1),1)+1+25</x:f>
        <x:v>46254</x:v>
      </x:c>
      <x:c r="W27" s="45" t="str">
        <x:f>IFERROR(INDEX('공휴일'!$B$2:$B$306,MATCH(V27,'공휴일'!$A$2:$A$306,0)),"")</x:f>
      </x:c>
    </x:row>
    <x:row r="28" ht="22" customHeight="1">
      <x:c r="J28" s="37" t="str"/>
      <x:c r="K28" s="33" t="str"/>
      <x:c r="L28" s="33" t="str"/>
      <x:c r="M28" s="38" t="str"/>
      <x:c r="N28" s="33" t="str"/>
      <x:c r="O28" s="36" t="str"/>
      <x:c r="P28" s="39" t="str"/>
      <x:c r="Q28" s="39" t="str"/>
      <x:c r="R28" s="45" t="str">
        <x:f>IF(OR(J28="",Q28&lt;&gt;""),"",COUNTIF($J$5:J28,J28))</x:f>
      </x:c>
      <x:c r="S28" s="44" t="n">
        <x:f>IF(27&lt;=DAY(EOMONTH(DATE($G$1,$H$1,1),0)),DATE($G$1,$H$1,27),"")</x:f>
        <x:v>46261</x:v>
      </x:c>
      <x:c r="T28" s="43"/>
      <x:c r="U28" s="45" t="str">
        <x:f>IF(OR(J28="",Q28&lt;&gt;""),"",J28*10+R28)</x:f>
      </x:c>
      <x:c r="V28" s="46" t="n">
        <x:f>DATE($G$1,$H$1,1)-WEEKDAY(DATE($G$1,$H$1,1),1)+1+26</x:f>
        <x:v>46255</x:v>
      </x:c>
      <x:c r="W28" s="45" t="str">
        <x:f>IFERROR(INDEX('공휴일'!$B$2:$B$306,MATCH(V28,'공휴일'!$A$2:$A$306,0)),"")</x:f>
      </x:c>
    </x:row>
    <x:row r="29" ht="22" customHeight="1">
      <x:c r="J29" s="37" t="str"/>
      <x:c r="K29" s="33" t="str"/>
      <x:c r="L29" s="33" t="str"/>
      <x:c r="M29" s="38" t="str"/>
      <x:c r="N29" s="33" t="str"/>
      <x:c r="O29" s="36" t="str"/>
      <x:c r="P29" s="39" t="str"/>
      <x:c r="Q29" s="39" t="str"/>
      <x:c r="R29" s="45" t="str">
        <x:f>IF(OR(J29="",Q29&lt;&gt;""),"",COUNTIF($J$5:J29,J29))</x:f>
      </x:c>
      <x:c r="S29" s="44" t="n">
        <x:f>IF(28&lt;=DAY(EOMONTH(DATE($G$1,$H$1,1),0)),DATE($G$1,$H$1,28),"")</x:f>
        <x:v>46262</x:v>
      </x:c>
      <x:c r="T29" s="43"/>
      <x:c r="U29" s="45" t="str">
        <x:f>IF(OR(J29="",Q29&lt;&gt;""),"",J29*10+R29)</x:f>
      </x:c>
      <x:c r="V29" s="46" t="n">
        <x:f>DATE($G$1,$H$1,1)-WEEKDAY(DATE($G$1,$H$1,1),1)+1+27</x:f>
        <x:v>46256</x:v>
      </x:c>
      <x:c r="W29" s="45" t="str">
        <x:f>IFERROR(INDEX('공휴일'!$B$2:$B$306,MATCH(V29,'공휴일'!$A$2:$A$306,0)),"")</x:f>
      </x:c>
    </x:row>
    <x:row r="30" ht="22" customHeight="1">
      <x:c r="J30" s="37" t="str"/>
      <x:c r="K30" s="33" t="str"/>
      <x:c r="L30" s="33" t="str"/>
      <x:c r="M30" s="38" t="str"/>
      <x:c r="N30" s="33" t="str"/>
      <x:c r="O30" s="36" t="str"/>
      <x:c r="P30" s="39" t="str"/>
      <x:c r="Q30" s="39" t="str"/>
      <x:c r="R30" s="45" t="str">
        <x:f>IF(OR(J30="",Q30&lt;&gt;""),"",COUNTIF($J$5:J30,J30))</x:f>
      </x:c>
      <x:c r="S30" s="44" t="n">
        <x:f>IF(29&lt;=DAY(EOMONTH(DATE($G$1,$H$1,1),0)),DATE($G$1,$H$1,29),"")</x:f>
        <x:v>46263</x:v>
      </x:c>
      <x:c r="T30" s="43"/>
      <x:c r="U30" s="45" t="str">
        <x:f>IF(OR(J30="",Q30&lt;&gt;""),"",J30*10+R30)</x:f>
      </x:c>
      <x:c r="V30" s="46" t="n">
        <x:f>DATE($G$1,$H$1,1)-WEEKDAY(DATE($G$1,$H$1,1),1)+1+28</x:f>
        <x:v>46257</x:v>
      </x:c>
      <x:c r="W30" s="45" t="str">
        <x:f>IFERROR(INDEX('공휴일'!$B$2:$B$306,MATCH(V30,'공휴일'!$A$2:$A$306,0)),"")</x:f>
      </x:c>
    </x:row>
    <x:row r="31" ht="22" customHeight="1">
      <x:c r="J31" s="37" t="str"/>
      <x:c r="K31" s="33" t="str"/>
      <x:c r="L31" s="33" t="str"/>
      <x:c r="M31" s="38" t="str"/>
      <x:c r="N31" s="33" t="str"/>
      <x:c r="O31" s="36" t="str"/>
      <x:c r="P31" s="39" t="str"/>
      <x:c r="Q31" s="39" t="str"/>
      <x:c r="R31" s="45" t="str">
        <x:f>IF(OR(J31="",Q31&lt;&gt;""),"",COUNTIF($J$5:J31,J31))</x:f>
      </x:c>
      <x:c r="S31" s="44" t="n">
        <x:f>IF(30&lt;=DAY(EOMONTH(DATE($G$1,$H$1,1),0)),DATE($G$1,$H$1,30),"")</x:f>
        <x:v>46264</x:v>
      </x:c>
      <x:c r="T31" s="43"/>
      <x:c r="U31" s="45" t="str">
        <x:f>IF(OR(J31="",Q31&lt;&gt;""),"",J31*10+R31)</x:f>
      </x:c>
      <x:c r="V31" s="46" t="n">
        <x:f>DATE($G$1,$H$1,1)-WEEKDAY(DATE($G$1,$H$1,1),1)+1+29</x:f>
        <x:v>46258</x:v>
      </x:c>
      <x:c r="W31" s="45" t="str">
        <x:f>IFERROR(INDEX('공휴일'!$B$2:$B$306,MATCH(V31,'공휴일'!$A$2:$A$306,0)),"")</x:f>
      </x:c>
    </x:row>
    <x:row r="32" ht="22" customHeight="1">
      <x:c r="J32" s="37" t="str"/>
      <x:c r="K32" s="33" t="str"/>
      <x:c r="L32" s="33" t="str"/>
      <x:c r="M32" s="38" t="str"/>
      <x:c r="N32" s="33" t="str"/>
      <x:c r="O32" s="36" t="str"/>
      <x:c r="P32" s="39" t="str"/>
      <x:c r="Q32" s="39" t="str"/>
      <x:c r="R32" s="45" t="str">
        <x:f>IF(OR(J32="",Q32&lt;&gt;""),"",COUNTIF($J$5:J32,J32))</x:f>
      </x:c>
      <x:c r="S32" s="44" t="n">
        <x:f>IF(31&lt;=DAY(EOMONTH(DATE($G$1,$H$1,1),0)),DATE($G$1,$H$1,31),"")</x:f>
        <x:v>46265</x:v>
      </x:c>
      <x:c r="T32" s="43"/>
      <x:c r="U32" s="45" t="str">
        <x:f>IF(OR(J32="",Q32&lt;&gt;""),"",J32*10+R32)</x:f>
      </x:c>
      <x:c r="V32" s="46" t="n">
        <x:f>DATE($G$1,$H$1,1)-WEEKDAY(DATE($G$1,$H$1,1),1)+1+30</x:f>
        <x:v>46259</x:v>
      </x:c>
      <x:c r="W32" s="45" t="str">
        <x:f>IFERROR(INDEX('공휴일'!$B$2:$B$306,MATCH(V32,'공휴일'!$A$2:$A$306,0)),"")</x:f>
      </x:c>
    </x:row>
    <x:row r="33" ht="22" customHeight="1">
      <x:c r="J33" s="37" t="str"/>
      <x:c r="K33" s="33" t="str"/>
      <x:c r="L33" s="33" t="str"/>
      <x:c r="M33" s="38" t="str"/>
      <x:c r="N33" s="33" t="str"/>
      <x:c r="O33" s="36" t="str"/>
      <x:c r="P33" s="39" t="str"/>
      <x:c r="Q33" s="39" t="str"/>
      <x:c r="R33" s="45" t="str">
        <x:f>IF(OR(J33="",Q33&lt;&gt;""),"",COUNTIF($J$5:J33,J33))</x:f>
      </x:c>
      <x:c r="U33" s="45" t="str">
        <x:f>IF(OR(J33="",Q33&lt;&gt;""),"",J33*10+R33)</x:f>
      </x:c>
      <x:c r="V33" s="46" t="n">
        <x:f>DATE($G$1,$H$1,1)-WEEKDAY(DATE($G$1,$H$1,1),1)+1+31</x:f>
        <x:v>46260</x:v>
      </x:c>
      <x:c r="W33" s="45" t="str">
        <x:f>IFERROR(INDEX('공휴일'!$B$2:$B$306,MATCH(V33,'공휴일'!$A$2:$A$306,0)),"")</x:f>
      </x:c>
    </x:row>
    <x:row r="34" ht="22" customHeight="1">
      <x:c r="J34" s="37" t="str"/>
      <x:c r="K34" s="33" t="str"/>
      <x:c r="L34" s="33" t="str"/>
      <x:c r="M34" s="38" t="str"/>
      <x:c r="N34" s="33" t="str"/>
      <x:c r="O34" s="36" t="str"/>
      <x:c r="P34" s="39" t="str"/>
      <x:c r="Q34" s="39" t="str"/>
      <x:c r="R34" s="45" t="str">
        <x:f>IF(OR(J34="",Q34&lt;&gt;""),"",COUNTIF($J$5:J34,J34))</x:f>
      </x:c>
      <x:c r="U34" s="45" t="str">
        <x:f>IF(OR(J34="",Q34&lt;&gt;""),"",J34*10+R34)</x:f>
      </x:c>
      <x:c r="V34" s="46" t="n">
        <x:f>DATE($G$1,$H$1,1)-WEEKDAY(DATE($G$1,$H$1,1),1)+1+32</x:f>
        <x:v>46261</x:v>
      </x:c>
      <x:c r="W34" s="45" t="str">
        <x:f>IFERROR(INDEX('공휴일'!$B$2:$B$306,MATCH(V34,'공휴일'!$A$2:$A$306,0)),"")</x:f>
      </x:c>
    </x:row>
    <x:row r="35">
      <x:c r="R35" s="45" t="str">
        <x:f>IF(OR(J35="",Q35&lt;&gt;""),"",COUNTIF($J$5:J35,J35))</x:f>
      </x:c>
      <x:c r="U35" s="45" t="str">
        <x:f>IF(OR(J35="",Q35&lt;&gt;""),"",J35*10+R35)</x:f>
      </x:c>
      <x:c r="V35" s="46" t="n">
        <x:f>DATE($G$1,$H$1,1)-WEEKDAY(DATE($G$1,$H$1,1),1)+1+33</x:f>
        <x:v>46262</x:v>
      </x:c>
      <x:c r="W35" s="45" t="str">
        <x:f>IFERROR(INDEX('공휴일'!$B$2:$B$306,MATCH(V35,'공휴일'!$A$2:$A$306,0)),"")</x:f>
      </x:c>
    </x:row>
    <x:row r="36">
      <x:c r="R36" s="45" t="str">
        <x:f>IF(OR(J36="",Q36&lt;&gt;""),"",COUNTIF($J$5:J36,J36))</x:f>
      </x:c>
      <x:c r="U36" s="45" t="str">
        <x:f>IF(OR(J36="",Q36&lt;&gt;""),"",J36*10+R36)</x:f>
      </x:c>
      <x:c r="V36" s="46" t="n">
        <x:f>DATE($G$1,$H$1,1)-WEEKDAY(DATE($G$1,$H$1,1),1)+1+34</x:f>
        <x:v>46263</x:v>
      </x:c>
      <x:c r="W36" s="45" t="str">
        <x:f>IFERROR(INDEX('공휴일'!$B$2:$B$306,MATCH(V36,'공휴일'!$A$2:$A$306,0)),"")</x:f>
      </x:c>
    </x:row>
    <x:row r="37">
      <x:c r="R37" s="45" t="str">
        <x:f>IF(OR(J37="",Q37&lt;&gt;""),"",COUNTIF($J$5:J37,J37))</x:f>
      </x:c>
      <x:c r="U37" s="45" t="str">
        <x:f>IF(OR(J37="",Q37&lt;&gt;""),"",J37*10+R37)</x:f>
      </x:c>
      <x:c r="V37" s="46" t="n">
        <x:f>DATE($G$1,$H$1,1)-WEEKDAY(DATE($G$1,$H$1,1),1)+1+35</x:f>
        <x:v>46264</x:v>
      </x:c>
      <x:c r="W37" s="45" t="str">
        <x:f>IFERROR(INDEX('공휴일'!$B$2:$B$306,MATCH(V37,'공휴일'!$A$2:$A$306,0)),"")</x:f>
      </x:c>
    </x:row>
    <x:row r="38">
      <x:c r="R38" s="45" t="str">
        <x:f>IF(OR(J38="",Q38&lt;&gt;""),"",COUNTIF($J$5:J38,J38))</x:f>
      </x:c>
      <x:c r="U38" s="45" t="str">
        <x:f>IF(OR(J38="",Q38&lt;&gt;""),"",J38*10+R38)</x:f>
      </x:c>
      <x:c r="V38" s="46" t="n">
        <x:f>DATE($G$1,$H$1,1)-WEEKDAY(DATE($G$1,$H$1,1),1)+1+36</x:f>
        <x:v>46265</x:v>
      </x:c>
      <x:c r="W38" s="45" t="str">
        <x:f>IFERROR(INDEX('공휴일'!$B$2:$B$306,MATCH(V38,'공휴일'!$A$2:$A$306,0)),"")</x:f>
      </x:c>
    </x:row>
    <x:row r="39">
      <x:c r="R39" s="45" t="str">
        <x:f>IF(OR(J39="",Q39&lt;&gt;""),"",COUNTIF($J$5:J39,J39))</x:f>
      </x:c>
      <x:c r="U39" s="45" t="str">
        <x:f>IF(OR(J39="",Q39&lt;&gt;""),"",J39*10+R39)</x:f>
      </x:c>
      <x:c r="V39" s="46" t="n">
        <x:f>DATE($G$1,$H$1,1)-WEEKDAY(DATE($G$1,$H$1,1),1)+1+37</x:f>
        <x:v>46266</x:v>
      </x:c>
      <x:c r="W39" s="45" t="str">
        <x:f>IFERROR(INDEX('공휴일'!$B$2:$B$306,MATCH(V39,'공휴일'!$A$2:$A$306,0)),"")</x:f>
      </x:c>
    </x:row>
    <x:row r="40">
      <x:c r="R40" s="45" t="str">
        <x:f>IF(OR(J40="",Q40&lt;&gt;""),"",COUNTIF($J$5:J40,J40))</x:f>
      </x:c>
      <x:c r="U40" s="45" t="str">
        <x:f>IF(OR(J40="",Q40&lt;&gt;""),"",J40*10+R40)</x:f>
      </x:c>
      <x:c r="V40" s="46" t="n">
        <x:f>DATE($G$1,$H$1,1)-WEEKDAY(DATE($G$1,$H$1,1),1)+1+38</x:f>
        <x:v>46267</x:v>
      </x:c>
      <x:c r="W40" s="45" t="str">
        <x:f>IFERROR(INDEX('공휴일'!$B$2:$B$306,MATCH(V40,'공휴일'!$A$2:$A$306,0)),"")</x:f>
      </x:c>
    </x:row>
    <x:row r="41">
      <x:c r="R41" s="45" t="str">
        <x:f>IF(OR(J41="",Q41&lt;&gt;""),"",COUNTIF($J$5:J41,J41))</x:f>
      </x:c>
      <x:c r="U41" s="45" t="str">
        <x:f>IF(OR(J41="",Q41&lt;&gt;""),"",J41*10+R41)</x:f>
      </x:c>
      <x:c r="V41" s="46" t="n">
        <x:f>DATE($G$1,$H$1,1)-WEEKDAY(DATE($G$1,$H$1,1),1)+1+39</x:f>
        <x:v>46268</x:v>
      </x:c>
      <x:c r="W41" s="45" t="str">
        <x:f>IFERROR(INDEX('공휴일'!$B$2:$B$306,MATCH(V41,'공휴일'!$A$2:$A$306,0)),"")</x:f>
      </x:c>
    </x:row>
    <x:row r="42">
      <x:c r="R42" s="45" t="str">
        <x:f>IF(OR(J42="",Q42&lt;&gt;""),"",COUNTIF($J$5:J42,J42))</x:f>
      </x:c>
      <x:c r="U42" s="45" t="str">
        <x:f>IF(OR(J42="",Q42&lt;&gt;""),"",J42*10+R42)</x:f>
      </x:c>
      <x:c r="V42" s="46" t="n">
        <x:f>DATE($G$1,$H$1,1)-WEEKDAY(DATE($G$1,$H$1,1),1)+1+40</x:f>
        <x:v>46269</x:v>
      </x:c>
      <x:c r="W42" s="45" t="str">
        <x:f>IFERROR(INDEX('공휴일'!$B$2:$B$306,MATCH(V42,'공휴일'!$A$2:$A$306,0)),"")</x:f>
      </x:c>
    </x:row>
    <x:row r="43">
      <x:c r="R43" s="45" t="str">
        <x:f>IF(OR(J43="",Q43&lt;&gt;""),"",COUNTIF($J$5:J43,J43))</x:f>
      </x:c>
      <x:c r="U43" s="45" t="str">
        <x:f>IF(OR(J43="",Q43&lt;&gt;""),"",J43*10+R43)</x:f>
      </x:c>
      <x:c r="V43" s="46" t="n">
        <x:f>DATE($G$1,$H$1,1)-WEEKDAY(DATE($G$1,$H$1,1),1)+1+41</x:f>
        <x:v>46270</x:v>
      </x:c>
      <x:c r="W43" s="45" t="str">
        <x:f>IFERROR(INDEX('공휴일'!$B$2:$B$306,MATCH(V43,'공휴일'!$A$2:$A$306,0)),"")</x:f>
      </x:c>
    </x:row>
    <x:row r="44">
      <x:c r="R44" s="45" t="str">
        <x:f>IF(OR(J44="",Q44&lt;&gt;""),"",COUNTIF($J$5:J44,J44))</x:f>
      </x:c>
      <x:c r="U44" s="45" t="str">
        <x:f>IF(OR(J44="",Q44&lt;&gt;""),"",J44*10+R44)</x:f>
      </x:c>
    </x:row>
    <x:row r="45">
      <x:c r="R45" s="45" t="str">
        <x:f>IF(OR(J45="",Q45&lt;&gt;""),"",COUNTIF($J$5:J45,J45))</x:f>
      </x:c>
      <x:c r="U45" s="45" t="str">
        <x:f>IF(OR(J45="",Q45&lt;&gt;""),"",J45*10+R45)</x:f>
      </x:c>
    </x:row>
    <x:row r="46">
      <x:c r="R46" s="45" t="str">
        <x:f>IF(OR(J46="",Q46&lt;&gt;""),"",COUNTIF($J$5:J46,J46))</x:f>
      </x:c>
      <x:c r="U46" s="45" t="str">
        <x:f>IF(OR(J46="",Q46&lt;&gt;""),"",J46*10+R46)</x:f>
      </x:c>
    </x:row>
    <x:row r="47">
      <x:c r="R47" s="45" t="str">
        <x:f>IF(OR(J47="",Q47&lt;&gt;""),"",COUNTIF($J$5:J47,J47))</x:f>
      </x:c>
      <x:c r="U47" s="45" t="str">
        <x:f>IF(OR(J47="",Q47&lt;&gt;""),"",J47*10+R47)</x:f>
      </x:c>
    </x:row>
    <x:row r="48">
      <x:c r="R48" s="45" t="str">
        <x:f>IF(OR(J48="",Q48&lt;&gt;""),"",COUNTIF($J$5:J48,J48))</x:f>
      </x:c>
      <x:c r="U48" s="45" t="str">
        <x:f>IF(OR(J48="",Q48&lt;&gt;""),"",J48*10+R48)</x:f>
      </x:c>
    </x:row>
    <x:row r="49">
      <x:c r="R49" s="45" t="str">
        <x:f>IF(OR(J49="",Q49&lt;&gt;""),"",COUNTIF($J$5:J49,J49))</x:f>
      </x:c>
      <x:c r="U49" s="45" t="str">
        <x:f>IF(OR(J49="",Q49&lt;&gt;""),"",J49*10+R49)</x:f>
      </x:c>
    </x:row>
    <x:row r="50">
      <x:c r="R50" s="45" t="str">
        <x:f>IF(OR(J50="",Q50&lt;&gt;""),"",COUNTIF($J$5:J50,J50))</x:f>
      </x:c>
      <x:c r="U50" s="45" t="str">
        <x:f>IF(OR(J50="",Q50&lt;&gt;""),"",J50*10+R50)</x:f>
      </x:c>
    </x:row>
    <x:row r="51">
      <x:c r="R51" s="45" t="str">
        <x:f>IF(OR(J51="",Q51&lt;&gt;""),"",COUNTIF($J$5:J51,J51))</x:f>
      </x:c>
      <x:c r="U51" s="45" t="str">
        <x:f>IF(OR(J51="",Q51&lt;&gt;""),"",J51*10+R51)</x:f>
      </x:c>
    </x:row>
    <x:row r="52">
      <x:c r="R52" s="45" t="str">
        <x:f>IF(OR(J52="",Q52&lt;&gt;""),"",COUNTIF($J$5:J52,J52))</x:f>
      </x:c>
      <x:c r="U52" s="45" t="str">
        <x:f>IF(OR(J52="",Q52&lt;&gt;""),"",J52*10+R52)</x:f>
      </x:c>
    </x:row>
    <x:row r="53">
      <x:c r="R53" s="45" t="str">
        <x:f>IF(OR(J53="",Q53&lt;&gt;""),"",COUNTIF($J$5:J53,J53))</x:f>
      </x:c>
      <x:c r="U53" s="45" t="str">
        <x:f>IF(OR(J53="",Q53&lt;&gt;""),"",J53*10+R53)</x:f>
      </x:c>
    </x:row>
    <x:row r="54">
      <x:c r="R54" s="45" t="str">
        <x:f>IF(OR(J54="",Q54&lt;&gt;""),"",COUNTIF($J$5:J54,J54))</x:f>
      </x:c>
      <x:c r="U54" s="45" t="str">
        <x:f>IF(OR(J54="",Q54&lt;&gt;""),"",J54*10+R54)</x:f>
      </x:c>
    </x:row>
    <x:row r="55">
      <x:c r="R55" s="45" t="str">
        <x:f>IF(OR(J55="",Q55&lt;&gt;""),"",COUNTIF($J$5:J55,J55))</x:f>
      </x:c>
      <x:c r="U55" s="45" t="str">
        <x:f>IF(OR(J55="",Q55&lt;&gt;""),"",J55*10+R55)</x:f>
      </x:c>
    </x:row>
    <x:row r="56">
      <x:c r="R56" s="45" t="str">
        <x:f>IF(OR(J56="",Q56&lt;&gt;""),"",COUNTIF($J$5:J56,J56))</x:f>
      </x:c>
      <x:c r="U56" s="45" t="str">
        <x:f>IF(OR(J56="",Q56&lt;&gt;""),"",J56*10+R56)</x:f>
      </x:c>
    </x:row>
    <x:row r="57">
      <x:c r="R57" s="45" t="str">
        <x:f>IF(OR(J57="",Q57&lt;&gt;""),"",COUNTIF($J$5:J57,J57))</x:f>
      </x:c>
      <x:c r="U57" s="45" t="str">
        <x:f>IF(OR(J57="",Q57&lt;&gt;""),"",J57*10+R57)</x:f>
      </x:c>
    </x:row>
    <x:row r="58">
      <x:c r="R58" s="45" t="str">
        <x:f>IF(OR(J58="",Q58&lt;&gt;""),"",COUNTIF($J$5:J58,J58))</x:f>
      </x:c>
      <x:c r="U58" s="45" t="str">
        <x:f>IF(OR(J58="",Q58&lt;&gt;""),"",J58*10+R58)</x:f>
      </x:c>
    </x:row>
    <x:row r="59">
      <x:c r="R59" s="45" t="str">
        <x:f>IF(OR(J59="",Q59&lt;&gt;""),"",COUNTIF($J$5:J59,J59))</x:f>
      </x:c>
      <x:c r="U59" s="45" t="str">
        <x:f>IF(OR(J59="",Q59&lt;&gt;""),"",J59*10+R59)</x:f>
      </x:c>
    </x:row>
    <x:row r="60">
      <x:c r="R60" s="45" t="str">
        <x:f>IF(OR(J60="",Q60&lt;&gt;""),"",COUNTIF($J$5:J60,J60))</x:f>
      </x:c>
      <x:c r="U60" s="45" t="str">
        <x:f>IF(OR(J60="",Q60&lt;&gt;""),"",J60*10+R60)</x:f>
      </x:c>
    </x:row>
    <x:row r="61">
      <x:c r="R61" s="45" t="str">
        <x:f>IF(OR(J61="",Q61&lt;&gt;""),"",COUNTIF($J$5:J61,J61))</x:f>
      </x:c>
      <x:c r="U61" s="45" t="str">
        <x:f>IF(OR(J61="",Q61&lt;&gt;""),"",J61*10+R61)</x:f>
      </x:c>
    </x:row>
    <x:row r="62">
      <x:c r="R62" s="45" t="str">
        <x:f>IF(OR(J62="",Q62&lt;&gt;""),"",COUNTIF($J$5:J62,J62))</x:f>
      </x:c>
      <x:c r="U62" s="45" t="str">
        <x:f>IF(OR(J62="",Q62&lt;&gt;""),"",J62*10+R62)</x:f>
      </x:c>
    </x:row>
    <x:row r="63">
      <x:c r="R63" s="45" t="str">
        <x:f>IF(OR(J63="",Q63&lt;&gt;""),"",COUNTIF($J$5:J63,J63))</x:f>
      </x:c>
      <x:c r="U63" s="45" t="str">
        <x:f>IF(OR(J63="",Q63&lt;&gt;""),"",J63*10+R63)</x:f>
      </x:c>
    </x:row>
    <x:row r="64">
      <x:c r="R64" s="45" t="str">
        <x:f>IF(OR(J64="",Q64&lt;&gt;""),"",COUNTIF($J$5:J64,J64))</x:f>
      </x:c>
      <x:c r="U64" s="45" t="str">
        <x:f>IF(OR(J64="",Q64&lt;&gt;""),"",J64*10+R64)</x:f>
      </x:c>
    </x:row>
    <x:row r="65">
      <x:c r="R65" s="45" t="str">
        <x:f>IF(OR(J65="",Q65&lt;&gt;""),"",COUNTIF($J$5:J65,J65))</x:f>
      </x:c>
      <x:c r="U65" s="45" t="str">
        <x:f>IF(OR(J65="",Q65&lt;&gt;""),"",J65*10+R65)</x:f>
      </x:c>
    </x:row>
    <x:row r="66">
      <x:c r="R66" s="45" t="str">
        <x:f>IF(OR(J66="",Q66&lt;&gt;""),"",COUNTIF($J$5:J66,J66))</x:f>
      </x:c>
      <x:c r="U66" s="45" t="str">
        <x:f>IF(OR(J66="",Q66&lt;&gt;""),"",J66*10+R66)</x:f>
      </x:c>
    </x:row>
    <x:row r="67">
      <x:c r="R67" s="45" t="str">
        <x:f>IF(OR(J67="",Q67&lt;&gt;""),"",COUNTIF($J$5:J67,J67))</x:f>
      </x:c>
      <x:c r="U67" s="45" t="str">
        <x:f>IF(OR(J67="",Q67&lt;&gt;""),"",J67*10+R67)</x:f>
      </x:c>
    </x:row>
    <x:row r="68">
      <x:c r="R68" s="45" t="str">
        <x:f>IF(OR(J68="",Q68&lt;&gt;""),"",COUNTIF($J$5:J68,J68))</x:f>
      </x:c>
      <x:c r="U68" s="45" t="str">
        <x:f>IF(OR(J68="",Q68&lt;&gt;""),"",J68*10+R68)</x:f>
      </x:c>
    </x:row>
    <x:row r="69">
      <x:c r="R69" s="45" t="str">
        <x:f>IF(OR(J69="",Q69&lt;&gt;""),"",COUNTIF($J$5:J69,J69))</x:f>
      </x:c>
      <x:c r="U69" s="45" t="str">
        <x:f>IF(OR(J69="",Q69&lt;&gt;""),"",J69*10+R69)</x:f>
      </x:c>
    </x:row>
    <x:row r="70">
      <x:c r="R70" s="45" t="str">
        <x:f>IF(OR(J70="",Q70&lt;&gt;""),"",COUNTIF($J$5:J70,J70))</x:f>
      </x:c>
      <x:c r="U70" s="45" t="str">
        <x:f>IF(OR(J70="",Q70&lt;&gt;""),"",J70*10+R70)</x:f>
      </x:c>
    </x:row>
    <x:row r="71">
      <x:c r="R71" s="45" t="str">
        <x:f>IF(OR(J71="",Q71&lt;&gt;""),"",COUNTIF($J$5:J71,J71))</x:f>
      </x:c>
      <x:c r="U71" s="45" t="str">
        <x:f>IF(OR(J71="",Q71&lt;&gt;""),"",J71*10+R71)</x:f>
      </x:c>
    </x:row>
    <x:row r="72">
      <x:c r="R72" s="45" t="str">
        <x:f>IF(OR(J72="",Q72&lt;&gt;""),"",COUNTIF($J$5:J72,J72))</x:f>
      </x:c>
      <x:c r="U72" s="45" t="str">
        <x:f>IF(OR(J72="",Q72&lt;&gt;""),"",J72*10+R72)</x:f>
      </x:c>
    </x:row>
    <x:row r="73">
      <x:c r="R73" s="45" t="str">
        <x:f>IF(OR(J73="",Q73&lt;&gt;""),"",COUNTIF($J$5:J73,J73))</x:f>
      </x:c>
      <x:c r="U73" s="45" t="str">
        <x:f>IF(OR(J73="",Q73&lt;&gt;""),"",J73*10+R73)</x:f>
      </x:c>
    </x:row>
    <x:row r="74">
      <x:c r="R74" s="45" t="str">
        <x:f>IF(OR(J74="",Q74&lt;&gt;""),"",COUNTIF($J$5:J74,J74))</x:f>
      </x:c>
      <x:c r="U74" s="45" t="str">
        <x:f>IF(OR(J74="",Q74&lt;&gt;""),"",J74*10+R74)</x:f>
      </x:c>
    </x:row>
    <x:row r="75">
      <x:c r="R75" s="45" t="str">
        <x:f>IF(OR(J75="",Q75&lt;&gt;""),"",COUNTIF($J$5:J75,J75))</x:f>
      </x:c>
      <x:c r="U75" s="45" t="str">
        <x:f>IF(OR(J75="",Q75&lt;&gt;""),"",J75*10+R75)</x:f>
      </x:c>
    </x:row>
    <x:row r="76">
      <x:c r="R76" s="45" t="str">
        <x:f>IF(OR(J76="",Q76&lt;&gt;""),"",COUNTIF($J$5:J76,J76))</x:f>
      </x:c>
      <x:c r="U76" s="45" t="str">
        <x:f>IF(OR(J76="",Q76&lt;&gt;""),"",J76*10+R76)</x:f>
      </x:c>
    </x:row>
    <x:row r="77">
      <x:c r="R77" s="45" t="str">
        <x:f>IF(OR(J77="",Q77&lt;&gt;""),"",COUNTIF($J$5:J77,J77))</x:f>
      </x:c>
      <x:c r="U77" s="45" t="str">
        <x:f>IF(OR(J77="",Q77&lt;&gt;""),"",J77*10+R77)</x:f>
      </x:c>
    </x:row>
    <x:row r="78">
      <x:c r="R78" s="45" t="str">
        <x:f>IF(OR(J78="",Q78&lt;&gt;""),"",COUNTIF($J$5:J78,J78))</x:f>
      </x:c>
      <x:c r="U78" s="45" t="str">
        <x:f>IF(OR(J78="",Q78&lt;&gt;""),"",J78*10+R78)</x:f>
      </x:c>
    </x:row>
    <x:row r="79">
      <x:c r="R79" s="45" t="str">
        <x:f>IF(OR(J79="",Q79&lt;&gt;""),"",COUNTIF($J$5:J79,J79))</x:f>
      </x:c>
      <x:c r="U79" s="45" t="str">
        <x:f>IF(OR(J79="",Q79&lt;&gt;""),"",J79*10+R79)</x:f>
      </x:c>
    </x:row>
    <x:row r="80">
      <x:c r="R80" s="45" t="str">
        <x:f>IF(OR(J80="",Q80&lt;&gt;""),"",COUNTIF($J$5:J80,J80))</x:f>
      </x:c>
      <x:c r="U80" s="45" t="str">
        <x:f>IF(OR(J80="",Q80&lt;&gt;""),"",J80*10+R80)</x:f>
      </x:c>
    </x:row>
    <x:row r="81">
      <x:c r="R81" s="45" t="str">
        <x:f>IF(OR(J81="",Q81&lt;&gt;""),"",COUNTIF($J$5:J81,J81))</x:f>
      </x:c>
      <x:c r="U81" s="45" t="str">
        <x:f>IF(OR(J81="",Q81&lt;&gt;""),"",J81*10+R81)</x:f>
      </x:c>
    </x:row>
    <x:row r="82">
      <x:c r="R82" s="45" t="str">
        <x:f>IF(OR(J82="",Q82&lt;&gt;""),"",COUNTIF($J$5:J82,J82))</x:f>
      </x:c>
      <x:c r="U82" s="45" t="str">
        <x:f>IF(OR(J82="",Q82&lt;&gt;""),"",J82*10+R82)</x:f>
      </x:c>
    </x:row>
    <x:row r="83">
      <x:c r="R83" s="45" t="str">
        <x:f>IF(OR(J83="",Q83&lt;&gt;""),"",COUNTIF($J$5:J83,J83))</x:f>
      </x:c>
      <x:c r="U83" s="45" t="str">
        <x:f>IF(OR(J83="",Q83&lt;&gt;""),"",J83*10+R83)</x:f>
      </x:c>
    </x:row>
    <x:row r="84">
      <x:c r="R84" s="45" t="str">
        <x:f>IF(OR(J84="",Q84&lt;&gt;""),"",COUNTIF($J$5:J84,J84))</x:f>
      </x:c>
      <x:c r="U84" s="45" t="str">
        <x:f>IF(OR(J84="",Q84&lt;&gt;""),"",J84*10+R84)</x:f>
      </x:c>
    </x:row>
    <x:row r="85">
      <x:c r="R85" s="45" t="str">
        <x:f>IF(OR(J85="",Q85&lt;&gt;""),"",COUNTIF($J$5:J85,J85))</x:f>
      </x:c>
      <x:c r="U85" s="45" t="str">
        <x:f>IF(OR(J85="",Q85&lt;&gt;""),"",J85*10+R85)</x:f>
      </x:c>
    </x:row>
    <x:row r="86">
      <x:c r="R86" s="45" t="str">
        <x:f>IF(OR(J86="",Q86&lt;&gt;""),"",COUNTIF($J$5:J86,J86))</x:f>
      </x:c>
      <x:c r="U86" s="45" t="str">
        <x:f>IF(OR(J86="",Q86&lt;&gt;""),"",J86*10+R86)</x:f>
      </x:c>
    </x:row>
    <x:row r="87">
      <x:c r="R87" s="45" t="str">
        <x:f>IF(OR(J87="",Q87&lt;&gt;""),"",COUNTIF($J$5:J87,J87))</x:f>
      </x:c>
      <x:c r="U87" s="45" t="str">
        <x:f>IF(OR(J87="",Q87&lt;&gt;""),"",J87*10+R87)</x:f>
      </x:c>
    </x:row>
    <x:row r="88">
      <x:c r="R88" s="45" t="str">
        <x:f>IF(OR(J88="",Q88&lt;&gt;""),"",COUNTIF($J$5:J88,J88))</x:f>
      </x:c>
      <x:c r="U88" s="45" t="str">
        <x:f>IF(OR(J88="",Q88&lt;&gt;""),"",J88*10+R88)</x:f>
      </x:c>
    </x:row>
    <x:row r="89">
      <x:c r="R89" s="45" t="str">
        <x:f>IF(OR(J89="",Q89&lt;&gt;""),"",COUNTIF($J$5:J89,J89))</x:f>
      </x:c>
      <x:c r="U89" s="45" t="str">
        <x:f>IF(OR(J89="",Q89&lt;&gt;""),"",J89*10+R89)</x:f>
      </x:c>
    </x:row>
    <x:row r="90">
      <x:c r="R90" s="45" t="str">
        <x:f>IF(OR(J90="",Q90&lt;&gt;""),"",COUNTIF($J$5:J90,J90))</x:f>
      </x:c>
      <x:c r="U90" s="45" t="str">
        <x:f>IF(OR(J90="",Q90&lt;&gt;""),"",J90*10+R90)</x:f>
      </x:c>
    </x:row>
    <x:row r="91">
      <x:c r="R91" s="45" t="str">
        <x:f>IF(OR(J91="",Q91&lt;&gt;""),"",COUNTIF($J$5:J91,J91))</x:f>
      </x:c>
      <x:c r="U91" s="45" t="str">
        <x:f>IF(OR(J91="",Q91&lt;&gt;""),"",J91*10+R91)</x:f>
      </x:c>
    </x:row>
    <x:row r="92">
      <x:c r="R92" s="45" t="str">
        <x:f>IF(OR(J92="",Q92&lt;&gt;""),"",COUNTIF($J$5:J92,J92))</x:f>
      </x:c>
      <x:c r="U92" s="45" t="str">
        <x:f>IF(OR(J92="",Q92&lt;&gt;""),"",J92*10+R92)</x:f>
      </x:c>
    </x:row>
    <x:row r="93">
      <x:c r="R93" s="45" t="str">
        <x:f>IF(OR(J93="",Q93&lt;&gt;""),"",COUNTIF($J$5:J93,J93))</x:f>
      </x:c>
      <x:c r="U93" s="45" t="str">
        <x:f>IF(OR(J93="",Q93&lt;&gt;""),"",J93*10+R93)</x:f>
      </x:c>
    </x:row>
    <x:row r="94">
      <x:c r="R94" s="45" t="str">
        <x:f>IF(OR(J94="",Q94&lt;&gt;""),"",COUNTIF($J$5:J94,J94))</x:f>
      </x:c>
      <x:c r="U94" s="45" t="str">
        <x:f>IF(OR(J94="",Q94&lt;&gt;""),"",J94*10+R94)</x:f>
      </x:c>
    </x:row>
    <x:row r="95">
      <x:c r="R95" s="45" t="str">
        <x:f>IF(OR(J95="",Q95&lt;&gt;""),"",COUNTIF($J$5:J95,J95))</x:f>
      </x:c>
      <x:c r="U95" s="45" t="str">
        <x:f>IF(OR(J95="",Q95&lt;&gt;""),"",J95*10+R95)</x:f>
      </x:c>
    </x:row>
    <x:row r="96">
      <x:c r="R96" s="45" t="str">
        <x:f>IF(OR(J96="",Q96&lt;&gt;""),"",COUNTIF($J$5:J96,J96))</x:f>
      </x:c>
      <x:c r="U96" s="45" t="str">
        <x:f>IF(OR(J96="",Q96&lt;&gt;""),"",J96*10+R96)</x:f>
      </x:c>
    </x:row>
    <x:row r="97">
      <x:c r="R97" s="45" t="str">
        <x:f>IF(OR(J97="",Q97&lt;&gt;""),"",COUNTIF($J$5:J97,J97))</x:f>
      </x:c>
      <x:c r="U97" s="45" t="str">
        <x:f>IF(OR(J97="",Q97&lt;&gt;""),"",J97*10+R97)</x:f>
      </x:c>
    </x:row>
    <x:row r="98">
      <x:c r="R98" s="45" t="str">
        <x:f>IF(OR(J98="",Q98&lt;&gt;""),"",COUNTIF($J$5:J98,J98))</x:f>
      </x:c>
      <x:c r="U98" s="45" t="str">
        <x:f>IF(OR(J98="",Q98&lt;&gt;""),"",J98*10+R98)</x:f>
      </x:c>
    </x:row>
    <x:row r="99">
      <x:c r="R99" s="45" t="str">
        <x:f>IF(OR(J99="",Q99&lt;&gt;""),"",COUNTIF($J$5:J99,J99))</x:f>
      </x:c>
      <x:c r="U99" s="45" t="str">
        <x:f>IF(OR(J99="",Q99&lt;&gt;""),"",J99*10+R99)</x:f>
      </x:c>
    </x:row>
    <x:row r="100">
      <x:c r="R100" s="45" t="str">
        <x:f>IF(OR(J100="",Q100&lt;&gt;""),"",COUNTIF($J$5:J100,J100))</x:f>
      </x:c>
      <x:c r="U100" s="45" t="str">
        <x:f>IF(OR(J100="",Q100&lt;&gt;""),"",J100*10+R100)</x:f>
      </x:c>
    </x:row>
    <x:row r="101">
      <x:c r="R101" s="45" t="str">
        <x:f>IF(OR(J101="",Q101&lt;&gt;""),"",COUNTIF($J$5:J101,J101))</x:f>
      </x:c>
      <x:c r="U101" s="45" t="str">
        <x:f>IF(OR(J101="",Q101&lt;&gt;""),"",J101*10+R101)</x:f>
      </x:c>
    </x:row>
    <x:row r="102">
      <x:c r="R102" s="45" t="str">
        <x:f>IF(OR(J102="",Q102&lt;&gt;""),"",COUNTIF($J$5:J102,J102))</x:f>
      </x:c>
      <x:c r="U102" s="45" t="str">
        <x:f>IF(OR(J102="",Q102&lt;&gt;""),"",J102*10+R102)</x:f>
      </x:c>
    </x:row>
    <x:row r="103">
      <x:c r="R103" s="45" t="str">
        <x:f>IF(OR(J103="",Q103&lt;&gt;""),"",COUNTIF($J$5:J103,J103))</x:f>
      </x:c>
      <x:c r="U103" s="45" t="str">
        <x:f>IF(OR(J103="",Q103&lt;&gt;""),"",J103*10+R103)</x:f>
      </x:c>
    </x:row>
    <x:row r="104">
      <x:c r="R104" s="45" t="str">
        <x:f>IF(OR(J104="",Q104&lt;&gt;""),"",COUNTIF($J$5:J104,J104))</x:f>
      </x:c>
      <x:c r="U104" s="45" t="str">
        <x:f>IF(OR(J104="",Q104&lt;&gt;""),"",J104*10+R104)</x:f>
      </x:c>
    </x:row>
    <x:row r="105">
      <x:c r="R105" s="45" t="str">
        <x:f>IF(OR(J105="",Q105&lt;&gt;""),"",COUNTIF($J$5:J105,J105))</x:f>
      </x:c>
      <x:c r="U105" s="45" t="str">
        <x:f>IF(OR(J105="",Q105&lt;&gt;""),"",J105*10+R105)</x:f>
      </x:c>
    </x:row>
    <x:row r="106">
      <x:c r="R106" s="45" t="str">
        <x:f>IF(OR(J106="",Q106&lt;&gt;""),"",COUNTIF($J$5:J106,J106))</x:f>
      </x:c>
      <x:c r="U106" s="45" t="str">
        <x:f>IF(OR(J106="",Q106&lt;&gt;""),"",J106*10+R106)</x:f>
      </x:c>
    </x:row>
    <x:row r="107">
      <x:c r="R107" s="45" t="str">
        <x:f>IF(OR(J107="",Q107&lt;&gt;""),"",COUNTIF($J$5:J107,J107))</x:f>
      </x:c>
      <x:c r="U107" s="45" t="str">
        <x:f>IF(OR(J107="",Q107&lt;&gt;""),"",J107*10+R107)</x:f>
      </x:c>
    </x:row>
    <x:row r="108">
      <x:c r="R108" s="45" t="str">
        <x:f>IF(OR(J108="",Q108&lt;&gt;""),"",COUNTIF($J$5:J108,J108))</x:f>
      </x:c>
      <x:c r="U108" s="45" t="str">
        <x:f>IF(OR(J108="",Q108&lt;&gt;""),"",J108*10+R108)</x:f>
      </x:c>
    </x:row>
    <x:row r="109">
      <x:c r="R109" s="45" t="str">
        <x:f>IF(OR(J109="",Q109&lt;&gt;""),"",COUNTIF($J$5:J109,J109))</x:f>
      </x:c>
      <x:c r="U109" s="45" t="str">
        <x:f>IF(OR(J109="",Q109&lt;&gt;""),"",J109*10+R109)</x:f>
      </x:c>
    </x:row>
    <x:row r="110">
      <x:c r="R110" s="45" t="str">
        <x:f>IF(OR(J110="",Q110&lt;&gt;""),"",COUNTIF($J$5:J110,J110))</x:f>
      </x:c>
      <x:c r="U110" s="45" t="str">
        <x:f>IF(OR(J110="",Q110&lt;&gt;""),"",J110*10+R110)</x:f>
      </x:c>
    </x:row>
    <x:row r="111">
      <x:c r="R111" s="45" t="str">
        <x:f>IF(OR(J111="",Q111&lt;&gt;""),"",COUNTIF($J$5:J111,J111))</x:f>
      </x:c>
      <x:c r="U111" s="45" t="str">
        <x:f>IF(OR(J111="",Q111&lt;&gt;""),"",J111*10+R111)</x:f>
      </x:c>
    </x:row>
    <x:row r="112">
      <x:c r="R112" s="45" t="str">
        <x:f>IF(OR(J112="",Q112&lt;&gt;""),"",COUNTIF($J$5:J112,J112))</x:f>
      </x:c>
      <x:c r="U112" s="45" t="str">
        <x:f>IF(OR(J112="",Q112&lt;&gt;""),"",J112*10+R112)</x:f>
      </x:c>
    </x:row>
    <x:row r="113">
      <x:c r="R113" s="45" t="str">
        <x:f>IF(OR(J113="",Q113&lt;&gt;""),"",COUNTIF($J$5:J113,J113))</x:f>
      </x:c>
      <x:c r="U113" s="45" t="str">
        <x:f>IF(OR(J113="",Q113&lt;&gt;""),"",J113*10+R113)</x:f>
      </x:c>
    </x:row>
    <x:row r="114">
      <x:c r="R114" s="45" t="str">
        <x:f>IF(OR(J114="",Q114&lt;&gt;""),"",COUNTIF($J$5:J114,J114))</x:f>
      </x:c>
      <x:c r="U114" s="45" t="str">
        <x:f>IF(OR(J114="",Q114&lt;&gt;""),"",J114*10+R114)</x:f>
      </x:c>
    </x:row>
    <x:row r="115">
      <x:c r="R115" s="45" t="str">
        <x:f>IF(OR(J115="",Q115&lt;&gt;""),"",COUNTIF($J$5:J115,J115))</x:f>
      </x:c>
      <x:c r="U115" s="45" t="str">
        <x:f>IF(OR(J115="",Q115&lt;&gt;""),"",J115*10+R115)</x:f>
      </x:c>
    </x:row>
    <x:row r="116">
      <x:c r="R116" s="45" t="str">
        <x:f>IF(OR(J116="",Q116&lt;&gt;""),"",COUNTIF($J$5:J116,J116))</x:f>
      </x:c>
      <x:c r="U116" s="45" t="str">
        <x:f>IF(OR(J116="",Q116&lt;&gt;""),"",J116*10+R116)</x:f>
      </x:c>
    </x:row>
    <x:row r="117">
      <x:c r="R117" s="45" t="str">
        <x:f>IF(OR(J117="",Q117&lt;&gt;""),"",COUNTIF($J$5:J117,J117))</x:f>
      </x:c>
      <x:c r="U117" s="45" t="str">
        <x:f>IF(OR(J117="",Q117&lt;&gt;""),"",J117*10+R117)</x:f>
      </x:c>
    </x:row>
    <x:row r="118">
      <x:c r="R118" s="45" t="str">
        <x:f>IF(OR(J118="",Q118&lt;&gt;""),"",COUNTIF($J$5:J118,J118))</x:f>
      </x:c>
      <x:c r="U118" s="45" t="str">
        <x:f>IF(OR(J118="",Q118&lt;&gt;""),"",J118*10+R118)</x:f>
      </x:c>
    </x:row>
    <x:row r="119">
      <x:c r="R119" s="45" t="str">
        <x:f>IF(OR(J119="",Q119&lt;&gt;""),"",COUNTIF($J$5:J119,J119))</x:f>
      </x:c>
      <x:c r="U119" s="45" t="str">
        <x:f>IF(OR(J119="",Q119&lt;&gt;""),"",J119*10+R119)</x:f>
      </x:c>
    </x:row>
    <x:row r="120">
      <x:c r="R120" s="45" t="str">
        <x:f>IF(OR(J120="",Q120&lt;&gt;""),"",COUNTIF($J$5:J120,J120))</x:f>
      </x:c>
      <x:c r="U120" s="45" t="str">
        <x:f>IF(OR(J120="",Q120&lt;&gt;""),"",J120*10+R120)</x:f>
      </x:c>
    </x:row>
    <x:row r="121">
      <x:c r="R121" s="45" t="str">
        <x:f>IF(OR(J121="",Q121&lt;&gt;""),"",COUNTIF($J$5:J121,J121))</x:f>
      </x:c>
      <x:c r="U121" s="45" t="str">
        <x:f>IF(OR(J121="",Q121&lt;&gt;""),"",J121*10+R121)</x:f>
      </x:c>
    </x:row>
    <x:row r="122">
      <x:c r="R122" s="45" t="str">
        <x:f>IF(OR(J122="",Q122&lt;&gt;""),"",COUNTIF($J$5:J122,J122))</x:f>
      </x:c>
      <x:c r="U122" s="45" t="str">
        <x:f>IF(OR(J122="",Q122&lt;&gt;""),"",J122*10+R122)</x:f>
      </x:c>
    </x:row>
    <x:row r="123">
      <x:c r="R123" s="45" t="str">
        <x:f>IF(OR(J123="",Q123&lt;&gt;""),"",COUNTIF($J$5:J123,J123))</x:f>
      </x:c>
      <x:c r="U123" s="45" t="str">
        <x:f>IF(OR(J123="",Q123&lt;&gt;""),"",J123*10+R123)</x:f>
      </x:c>
    </x:row>
    <x:row r="124">
      <x:c r="R124" s="45" t="str">
        <x:f>IF(OR(J124="",Q124&lt;&gt;""),"",COUNTIF($J$5:J124,J124))</x:f>
      </x:c>
      <x:c r="U124" s="45" t="str">
        <x:f>IF(OR(J124="",Q124&lt;&gt;""),"",J124*10+R124)</x:f>
      </x:c>
    </x:row>
    <x:row r="125">
      <x:c r="R125" s="45" t="str">
        <x:f>IF(OR(J125="",Q125&lt;&gt;""),"",COUNTIF($J$5:J125,J125))</x:f>
      </x:c>
      <x:c r="U125" s="45" t="str">
        <x:f>IF(OR(J125="",Q125&lt;&gt;""),"",J125*10+R125)</x:f>
      </x:c>
    </x:row>
    <x:row r="126">
      <x:c r="R126" s="45" t="str">
        <x:f>IF(OR(J126="",Q126&lt;&gt;""),"",COUNTIF($J$5:J126,J126))</x:f>
      </x:c>
      <x:c r="U126" s="45" t="str">
        <x:f>IF(OR(J126="",Q126&lt;&gt;""),"",J126*10+R126)</x:f>
      </x:c>
    </x:row>
    <x:row r="127">
      <x:c r="R127" s="45" t="str">
        <x:f>IF(OR(J127="",Q127&lt;&gt;""),"",COUNTIF($J$5:J127,J127))</x:f>
      </x:c>
      <x:c r="U127" s="45" t="str">
        <x:f>IF(OR(J127="",Q127&lt;&gt;""),"",J127*10+R127)</x:f>
      </x:c>
    </x:row>
    <x:row r="128">
      <x:c r="R128" s="45" t="str">
        <x:f>IF(OR(J128="",Q128&lt;&gt;""),"",COUNTIF($J$5:J128,J128))</x:f>
      </x:c>
      <x:c r="U128" s="45" t="str">
        <x:f>IF(OR(J128="",Q128&lt;&gt;""),"",J128*10+R128)</x:f>
      </x:c>
    </x:row>
    <x:row r="129">
      <x:c r="R129" s="45" t="str">
        <x:f>IF(OR(J129="",Q129&lt;&gt;""),"",COUNTIF($J$5:J129,J129))</x:f>
      </x:c>
      <x:c r="U129" s="45" t="str">
        <x:f>IF(OR(J129="",Q129&lt;&gt;""),"",J129*10+R129)</x:f>
      </x:c>
    </x:row>
    <x:row r="130">
      <x:c r="R130" s="45" t="str">
        <x:f>IF(OR(J130="",Q130&lt;&gt;""),"",COUNTIF($J$5:J130,J130))</x:f>
      </x:c>
      <x:c r="U130" s="45" t="str">
        <x:f>IF(OR(J130="",Q130&lt;&gt;""),"",J130*10+R130)</x:f>
      </x:c>
    </x:row>
    <x:row r="131">
      <x:c r="R131" s="45" t="str">
        <x:f>IF(OR(J131="",Q131&lt;&gt;""),"",COUNTIF($J$5:J131,J131))</x:f>
      </x:c>
      <x:c r="U131" s="45" t="str">
        <x:f>IF(OR(J131="",Q131&lt;&gt;""),"",J131*10+R131)</x:f>
      </x:c>
    </x:row>
    <x:row r="132">
      <x:c r="R132" s="45" t="str">
        <x:f>IF(OR(J132="",Q132&lt;&gt;""),"",COUNTIF($J$5:J132,J132))</x:f>
      </x:c>
      <x:c r="U132" s="45" t="str">
        <x:f>IF(OR(J132="",Q132&lt;&gt;""),"",J132*10+R132)</x:f>
      </x:c>
    </x:row>
    <x:row r="133">
      <x:c r="R133" s="45" t="str">
        <x:f>IF(OR(J133="",Q133&lt;&gt;""),"",COUNTIF($J$5:J133,J133))</x:f>
      </x:c>
      <x:c r="U133" s="45" t="str">
        <x:f>IF(OR(J133="",Q133&lt;&gt;""),"",J133*10+R133)</x:f>
      </x:c>
    </x:row>
    <x:row r="134">
      <x:c r="R134" s="45" t="str">
        <x:f>IF(OR(J134="",Q134&lt;&gt;""),"",COUNTIF($J$5:J134,J134))</x:f>
      </x:c>
      <x:c r="U134" s="45" t="str">
        <x:f>IF(OR(J134="",Q134&lt;&gt;""),"",J134*10+R134)</x:f>
      </x:c>
    </x:row>
    <x:row r="135">
      <x:c r="R135" s="45" t="str">
        <x:f>IF(OR(J135="",Q135&lt;&gt;""),"",COUNTIF($J$5:J135,J135))</x:f>
      </x:c>
      <x:c r="U135" s="45" t="str">
        <x:f>IF(OR(J135="",Q135&lt;&gt;""),"",J135*10+R135)</x:f>
      </x:c>
    </x:row>
    <x:row r="136">
      <x:c r="R136" s="45" t="str">
        <x:f>IF(OR(J136="",Q136&lt;&gt;""),"",COUNTIF($J$5:J136,J136))</x:f>
      </x:c>
      <x:c r="U136" s="45" t="str">
        <x:f>IF(OR(J136="",Q136&lt;&gt;""),"",J136*10+R136)</x:f>
      </x:c>
    </x:row>
    <x:row r="137">
      <x:c r="R137" s="45" t="str">
        <x:f>IF(OR(J137="",Q137&lt;&gt;""),"",COUNTIF($J$5:J137,J137))</x:f>
      </x:c>
      <x:c r="U137" s="45" t="str">
        <x:f>IF(OR(J137="",Q137&lt;&gt;""),"",J137*10+R137)</x:f>
      </x:c>
    </x:row>
    <x:row r="138">
      <x:c r="R138" s="45" t="str">
        <x:f>IF(OR(J138="",Q138&lt;&gt;""),"",COUNTIF($J$5:J138,J138))</x:f>
      </x:c>
      <x:c r="U138" s="45" t="str">
        <x:f>IF(OR(J138="",Q138&lt;&gt;""),"",J138*10+R138)</x:f>
      </x:c>
    </x:row>
    <x:row r="139">
      <x:c r="R139" s="45" t="str">
        <x:f>IF(OR(J139="",Q139&lt;&gt;""),"",COUNTIF($J$5:J139,J139))</x:f>
      </x:c>
      <x:c r="U139" s="45" t="str">
        <x:f>IF(OR(J139="",Q139&lt;&gt;""),"",J139*10+R139)</x:f>
      </x:c>
    </x:row>
    <x:row r="140">
      <x:c r="R140" s="45" t="str">
        <x:f>IF(OR(J140="",Q140&lt;&gt;""),"",COUNTIF($J$5:J140,J140))</x:f>
      </x:c>
      <x:c r="U140" s="45" t="str">
        <x:f>IF(OR(J140="",Q140&lt;&gt;""),"",J140*10+R140)</x:f>
      </x:c>
    </x:row>
    <x:row r="141">
      <x:c r="R141" s="45" t="str">
        <x:f>IF(OR(J141="",Q141&lt;&gt;""),"",COUNTIF($J$5:J141,J141))</x:f>
      </x:c>
      <x:c r="U141" s="45" t="str">
        <x:f>IF(OR(J141="",Q141&lt;&gt;""),"",J141*10+R141)</x:f>
      </x:c>
    </x:row>
    <x:row r="142">
      <x:c r="R142" s="45" t="str">
        <x:f>IF(OR(J142="",Q142&lt;&gt;""),"",COUNTIF($J$5:J142,J142))</x:f>
      </x:c>
      <x:c r="U142" s="45" t="str">
        <x:f>IF(OR(J142="",Q142&lt;&gt;""),"",J142*10+R142)</x:f>
      </x:c>
    </x:row>
    <x:row r="143">
      <x:c r="R143" s="45" t="str">
        <x:f>IF(OR(J143="",Q143&lt;&gt;""),"",COUNTIF($J$5:J143,J143))</x:f>
      </x:c>
      <x:c r="U143" s="45" t="str">
        <x:f>IF(OR(J143="",Q143&lt;&gt;""),"",J143*10+R143)</x:f>
      </x:c>
    </x:row>
    <x:row r="144">
      <x:c r="R144" s="45" t="str">
        <x:f>IF(OR(J144="",Q144&lt;&gt;""),"",COUNTIF($J$5:J144,J144))</x:f>
      </x:c>
      <x:c r="U144" s="45" t="str">
        <x:f>IF(OR(J144="",Q144&lt;&gt;""),"",J144*10+R144)</x:f>
      </x:c>
    </x:row>
    <x:row r="145">
      <x:c r="R145" s="45" t="str">
        <x:f>IF(OR(J145="",Q145&lt;&gt;""),"",COUNTIF($J$5:J145,J145))</x:f>
      </x:c>
      <x:c r="U145" s="45" t="str">
        <x:f>IF(OR(J145="",Q145&lt;&gt;""),"",J145*10+R145)</x:f>
      </x:c>
    </x:row>
    <x:row r="146">
      <x:c r="R146" s="45" t="str">
        <x:f>IF(OR(J146="",Q146&lt;&gt;""),"",COUNTIF($J$5:J146,J146))</x:f>
      </x:c>
      <x:c r="U146" s="45" t="str">
        <x:f>IF(OR(J146="",Q146&lt;&gt;""),"",J146*10+R146)</x:f>
      </x:c>
    </x:row>
    <x:row r="147">
      <x:c r="R147" s="45" t="str">
        <x:f>IF(OR(J147="",Q147&lt;&gt;""),"",COUNTIF($J$5:J147,J147))</x:f>
      </x:c>
      <x:c r="U147" s="45" t="str">
        <x:f>IF(OR(J147="",Q147&lt;&gt;""),"",J147*10+R147)</x:f>
      </x:c>
    </x:row>
    <x:row r="148">
      <x:c r="R148" s="45" t="str">
        <x:f>IF(OR(J148="",Q148&lt;&gt;""),"",COUNTIF($J$5:J148,J148))</x:f>
      </x:c>
      <x:c r="U148" s="45" t="str">
        <x:f>IF(OR(J148="",Q148&lt;&gt;""),"",J148*10+R148)</x:f>
      </x:c>
    </x:row>
    <x:row r="149">
      <x:c r="R149" s="45" t="str">
        <x:f>IF(OR(J149="",Q149&lt;&gt;""),"",COUNTIF($J$5:J149,J149))</x:f>
      </x:c>
      <x:c r="U149" s="45" t="str">
        <x:f>IF(OR(J149="",Q149&lt;&gt;""),"",J149*10+R149)</x:f>
      </x:c>
    </x:row>
    <x:row r="150">
      <x:c r="R150" s="45" t="str">
        <x:f>IF(OR(J150="",Q150&lt;&gt;""),"",COUNTIF($J$5:J150,J150))</x:f>
      </x:c>
      <x:c r="U150" s="45" t="str">
        <x:f>IF(OR(J150="",Q150&lt;&gt;""),"",J150*10+R150)</x:f>
      </x:c>
    </x:row>
    <x:row r="151">
      <x:c r="R151" s="45" t="str">
        <x:f>IF(OR(J151="",Q151&lt;&gt;""),"",COUNTIF($J$5:J151,J151))</x:f>
      </x:c>
      <x:c r="U151" s="45" t="str">
        <x:f>IF(OR(J151="",Q151&lt;&gt;""),"",J151*10+R151)</x:f>
      </x:c>
    </x:row>
    <x:row r="152">
      <x:c r="R152" s="45" t="str">
        <x:f>IF(OR(J152="",Q152&lt;&gt;""),"",COUNTIF($J$5:J152,J152))</x:f>
      </x:c>
      <x:c r="U152" s="45" t="str">
        <x:f>IF(OR(J152="",Q152&lt;&gt;""),"",J152*10+R152)</x:f>
      </x:c>
    </x:row>
    <x:row r="153">
      <x:c r="R153" s="45" t="str">
        <x:f>IF(OR(J153="",Q153&lt;&gt;""),"",COUNTIF($J$5:J153,J153))</x:f>
      </x:c>
      <x:c r="U153" s="45" t="str">
        <x:f>IF(OR(J153="",Q153&lt;&gt;""),"",J153*10+R153)</x:f>
      </x:c>
    </x:row>
    <x:row r="154">
      <x:c r="R154" s="45" t="str">
        <x:f>IF(OR(J154="",Q154&lt;&gt;""),"",COUNTIF($J$5:J154,J154))</x:f>
      </x:c>
      <x:c r="U154" s="45" t="str">
        <x:f>IF(OR(J154="",Q154&lt;&gt;""),"",J154*10+R154)</x:f>
      </x:c>
    </x:row>
    <x:row r="155">
      <x:c r="R155" s="45" t="str">
        <x:f>IF(OR(J155="",Q155&lt;&gt;""),"",COUNTIF($J$5:J155,J155))</x:f>
      </x:c>
      <x:c r="U155" s="45" t="str">
        <x:f>IF(OR(J155="",Q155&lt;&gt;""),"",J155*10+R155)</x:f>
      </x:c>
    </x:row>
    <x:row r="156">
      <x:c r="R156" s="45" t="str">
        <x:f>IF(OR(J156="",Q156&lt;&gt;""),"",COUNTIF($J$5:J156,J156))</x:f>
      </x:c>
      <x:c r="U156" s="45" t="str">
        <x:f>IF(OR(J156="",Q156&lt;&gt;""),"",J156*10+R156)</x:f>
      </x:c>
    </x:row>
    <x:row r="157">
      <x:c r="R157" s="45" t="str">
        <x:f>IF(OR(J157="",Q157&lt;&gt;""),"",COUNTIF($J$5:J157,J157))</x:f>
      </x:c>
      <x:c r="U157" s="45" t="str">
        <x:f>IF(OR(J157="",Q157&lt;&gt;""),"",J157*10+R157)</x:f>
      </x:c>
    </x:row>
    <x:row r="158">
      <x:c r="R158" s="45" t="str">
        <x:f>IF(OR(J158="",Q158&lt;&gt;""),"",COUNTIF($J$5:J158,J158))</x:f>
      </x:c>
      <x:c r="U158" s="45" t="str">
        <x:f>IF(OR(J158="",Q158&lt;&gt;""),"",J158*10+R158)</x:f>
      </x:c>
    </x:row>
    <x:row r="159">
      <x:c r="R159" s="45" t="str">
        <x:f>IF(OR(J159="",Q159&lt;&gt;""),"",COUNTIF($J$5:J159,J159))</x:f>
      </x:c>
      <x:c r="U159" s="45" t="str">
        <x:f>IF(OR(J159="",Q159&lt;&gt;""),"",J159*10+R159)</x:f>
      </x:c>
    </x:row>
    <x:row r="160">
      <x:c r="R160" s="45" t="str">
        <x:f>IF(OR(J160="",Q160&lt;&gt;""),"",COUNTIF($J$5:J160,J160))</x:f>
      </x:c>
      <x:c r="U160" s="45" t="str">
        <x:f>IF(OR(J160="",Q160&lt;&gt;""),"",J160*10+R160)</x:f>
      </x:c>
    </x:row>
    <x:row r="161">
      <x:c r="R161" s="45" t="str">
        <x:f>IF(OR(J161="",Q161&lt;&gt;""),"",COUNTIF($J$5:J161,J161))</x:f>
      </x:c>
      <x:c r="U161" s="45" t="str">
        <x:f>IF(OR(J161="",Q161&lt;&gt;""),"",J161*10+R161)</x:f>
      </x:c>
    </x:row>
    <x:row r="162">
      <x:c r="R162" s="45" t="str">
        <x:f>IF(OR(J162="",Q162&lt;&gt;""),"",COUNTIF($J$5:J162,J162))</x:f>
      </x:c>
      <x:c r="U162" s="45" t="str">
        <x:f>IF(OR(J162="",Q162&lt;&gt;""),"",J162*10+R162)</x:f>
      </x:c>
    </x:row>
    <x:row r="163">
      <x:c r="R163" s="45" t="str">
        <x:f>IF(OR(J163="",Q163&lt;&gt;""),"",COUNTIF($J$5:J163,J163))</x:f>
      </x:c>
      <x:c r="U163" s="45" t="str">
        <x:f>IF(OR(J163="",Q163&lt;&gt;""),"",J163*10+R163)</x:f>
      </x:c>
    </x:row>
    <x:row r="164">
      <x:c r="R164" s="45" t="str">
        <x:f>IF(OR(J164="",Q164&lt;&gt;""),"",COUNTIF($J$5:J164,J164))</x:f>
      </x:c>
      <x:c r="U164" s="45" t="str">
        <x:f>IF(OR(J164="",Q164&lt;&gt;""),"",J164*10+R164)</x:f>
      </x:c>
    </x:row>
    <x:row r="165">
      <x:c r="R165" s="45" t="str">
        <x:f>IF(OR(J165="",Q165&lt;&gt;""),"",COUNTIF($J$5:J165,J165))</x:f>
      </x:c>
      <x:c r="U165" s="45" t="str">
        <x:f>IF(OR(J165="",Q165&lt;&gt;""),"",J165*10+R165)</x:f>
      </x:c>
    </x:row>
    <x:row r="166">
      <x:c r="R166" s="45" t="str">
        <x:f>IF(OR(J166="",Q166&lt;&gt;""),"",COUNTIF($J$5:J166,J166))</x:f>
      </x:c>
      <x:c r="U166" s="45" t="str">
        <x:f>IF(OR(J166="",Q166&lt;&gt;""),"",J166*10+R166)</x:f>
      </x:c>
    </x:row>
    <x:row r="167">
      <x:c r="R167" s="45" t="str">
        <x:f>IF(OR(J167="",Q167&lt;&gt;""),"",COUNTIF($J$5:J167,J167))</x:f>
      </x:c>
      <x:c r="U167" s="45" t="str">
        <x:f>IF(OR(J167="",Q167&lt;&gt;""),"",J167*10+R167)</x:f>
      </x:c>
    </x:row>
    <x:row r="168">
      <x:c r="R168" s="45" t="str">
        <x:f>IF(OR(J168="",Q168&lt;&gt;""),"",COUNTIF($J$5:J168,J168))</x:f>
      </x:c>
      <x:c r="U168" s="45" t="str">
        <x:f>IF(OR(J168="",Q168&lt;&gt;""),"",J168*10+R168)</x:f>
      </x:c>
    </x:row>
    <x:row r="169">
      <x:c r="R169" s="45" t="str">
        <x:f>IF(OR(J169="",Q169&lt;&gt;""),"",COUNTIF($J$5:J169,J169))</x:f>
      </x:c>
      <x:c r="U169" s="45" t="str">
        <x:f>IF(OR(J169="",Q169&lt;&gt;""),"",J169*10+R169)</x:f>
      </x:c>
    </x:row>
    <x:row r="170">
      <x:c r="R170" s="45" t="str">
        <x:f>IF(OR(J170="",Q170&lt;&gt;""),"",COUNTIF($J$5:J170,J170))</x:f>
      </x:c>
      <x:c r="U170" s="45" t="str">
        <x:f>IF(OR(J170="",Q170&lt;&gt;""),"",J170*10+R170)</x:f>
      </x:c>
    </x:row>
    <x:row r="171">
      <x:c r="R171" s="45" t="str">
        <x:f>IF(OR(J171="",Q171&lt;&gt;""),"",COUNTIF($J$5:J171,J171))</x:f>
      </x:c>
      <x:c r="U171" s="45" t="str">
        <x:f>IF(OR(J171="",Q171&lt;&gt;""),"",J171*10+R171)</x:f>
      </x:c>
    </x:row>
    <x:row r="172">
      <x:c r="R172" s="45" t="str">
        <x:f>IF(OR(J172="",Q172&lt;&gt;""),"",COUNTIF($J$5:J172,J172))</x:f>
      </x:c>
      <x:c r="U172" s="45" t="str">
        <x:f>IF(OR(J172="",Q172&lt;&gt;""),"",J172*10+R172)</x:f>
      </x:c>
    </x:row>
    <x:row r="173">
      <x:c r="R173" s="45" t="str">
        <x:f>IF(OR(J173="",Q173&lt;&gt;""),"",COUNTIF($J$5:J173,J173))</x:f>
      </x:c>
      <x:c r="U173" s="45" t="str">
        <x:f>IF(OR(J173="",Q173&lt;&gt;""),"",J173*10+R173)</x:f>
      </x:c>
    </x:row>
    <x:row r="174">
      <x:c r="R174" s="45" t="str">
        <x:f>IF(OR(J174="",Q174&lt;&gt;""),"",COUNTIF($J$5:J174,J174))</x:f>
      </x:c>
      <x:c r="U174" s="45" t="str">
        <x:f>IF(OR(J174="",Q174&lt;&gt;""),"",J174*10+R174)</x:f>
      </x:c>
    </x:row>
    <x:row r="175">
      <x:c r="R175" s="45" t="str">
        <x:f>IF(OR(J175="",Q175&lt;&gt;""),"",COUNTIF($J$5:J175,J175))</x:f>
      </x:c>
      <x:c r="U175" s="45" t="str">
        <x:f>IF(OR(J175="",Q175&lt;&gt;""),"",J175*10+R175)</x:f>
      </x:c>
    </x:row>
    <x:row r="176">
      <x:c r="R176" s="45" t="str">
        <x:f>IF(OR(J176="",Q176&lt;&gt;""),"",COUNTIF($J$5:J176,J176))</x:f>
      </x:c>
      <x:c r="U176" s="45" t="str">
        <x:f>IF(OR(J176="",Q176&lt;&gt;""),"",J176*10+R176)</x:f>
      </x:c>
    </x:row>
    <x:row r="177">
      <x:c r="R177" s="45" t="str">
        <x:f>IF(OR(J177="",Q177&lt;&gt;""),"",COUNTIF($J$5:J177,J177))</x:f>
      </x:c>
      <x:c r="U177" s="45" t="str">
        <x:f>IF(OR(J177="",Q177&lt;&gt;""),"",J177*10+R177)</x:f>
      </x:c>
    </x:row>
    <x:row r="178">
      <x:c r="R178" s="45" t="str">
        <x:f>IF(OR(J178="",Q178&lt;&gt;""),"",COUNTIF($J$5:J178,J178))</x:f>
      </x:c>
      <x:c r="U178" s="45" t="str">
        <x:f>IF(OR(J178="",Q178&lt;&gt;""),"",J178*10+R178)</x:f>
      </x:c>
    </x:row>
    <x:row r="179">
      <x:c r="R179" s="45" t="str">
        <x:f>IF(OR(J179="",Q179&lt;&gt;""),"",COUNTIF($J$5:J179,J179))</x:f>
      </x:c>
      <x:c r="U179" s="45" t="str">
        <x:f>IF(OR(J179="",Q179&lt;&gt;""),"",J179*10+R179)</x:f>
      </x:c>
    </x:row>
    <x:row r="180">
      <x:c r="R180" s="45" t="str">
        <x:f>IF(OR(J180="",Q180&lt;&gt;""),"",COUNTIF($J$5:J180,J180))</x:f>
      </x:c>
      <x:c r="U180" s="45" t="str">
        <x:f>IF(OR(J180="",Q180&lt;&gt;""),"",J180*10+R180)</x:f>
      </x:c>
    </x:row>
    <x:row r="181">
      <x:c r="R181" s="45" t="str">
        <x:f>IF(OR(J181="",Q181&lt;&gt;""),"",COUNTIF($J$5:J181,J181))</x:f>
      </x:c>
      <x:c r="U181" s="45" t="str">
        <x:f>IF(OR(J181="",Q181&lt;&gt;""),"",J181*10+R181)</x:f>
      </x:c>
    </x:row>
    <x:row r="182">
      <x:c r="R182" s="45" t="str">
        <x:f>IF(OR(J182="",Q182&lt;&gt;""),"",COUNTIF($J$5:J182,J182))</x:f>
      </x:c>
      <x:c r="U182" s="45" t="str">
        <x:f>IF(OR(J182="",Q182&lt;&gt;""),"",J182*10+R182)</x:f>
      </x:c>
    </x:row>
    <x:row r="183">
      <x:c r="R183" s="45" t="str">
        <x:f>IF(OR(J183="",Q183&lt;&gt;""),"",COUNTIF($J$5:J183,J183))</x:f>
      </x:c>
      <x:c r="U183" s="45" t="str">
        <x:f>IF(OR(J183="",Q183&lt;&gt;""),"",J183*10+R183)</x:f>
      </x:c>
    </x:row>
    <x:row r="184">
      <x:c r="R184" s="45" t="str">
        <x:f>IF(OR(J184="",Q184&lt;&gt;""),"",COUNTIF($J$5:J184,J184))</x:f>
      </x:c>
      <x:c r="U184" s="45" t="str">
        <x:f>IF(OR(J184="",Q184&lt;&gt;""),"",J184*10+R184)</x:f>
      </x:c>
    </x:row>
    <x:row r="185">
      <x:c r="R185" s="45" t="str">
        <x:f>IF(OR(J185="",Q185&lt;&gt;""),"",COUNTIF($J$5:J185,J185))</x:f>
      </x:c>
      <x:c r="U185" s="45" t="str">
        <x:f>IF(OR(J185="",Q185&lt;&gt;""),"",J185*10+R185)</x:f>
      </x:c>
    </x:row>
    <x:row r="186">
      <x:c r="R186" s="45" t="str">
        <x:f>IF(OR(J186="",Q186&lt;&gt;""),"",COUNTIF($J$5:J186,J186))</x:f>
      </x:c>
      <x:c r="U186" s="45" t="str">
        <x:f>IF(OR(J186="",Q186&lt;&gt;""),"",J186*10+R186)</x:f>
      </x:c>
    </x:row>
    <x:row r="187">
      <x:c r="R187" s="45" t="str">
        <x:f>IF(OR(J187="",Q187&lt;&gt;""),"",COUNTIF($J$5:J187,J187))</x:f>
      </x:c>
      <x:c r="U187" s="45" t="str">
        <x:f>IF(OR(J187="",Q187&lt;&gt;""),"",J187*10+R187)</x:f>
      </x:c>
    </x:row>
    <x:row r="188">
      <x:c r="R188" s="45" t="str">
        <x:f>IF(OR(J188="",Q188&lt;&gt;""),"",COUNTIF($J$5:J188,J188))</x:f>
      </x:c>
      <x:c r="U188" s="45" t="str">
        <x:f>IF(OR(J188="",Q188&lt;&gt;""),"",J188*10+R188)</x:f>
      </x:c>
    </x:row>
    <x:row r="189">
      <x:c r="R189" s="45" t="str">
        <x:f>IF(OR(J189="",Q189&lt;&gt;""),"",COUNTIF($J$5:J189,J189))</x:f>
      </x:c>
      <x:c r="U189" s="45" t="str">
        <x:f>IF(OR(J189="",Q189&lt;&gt;""),"",J189*10+R189)</x:f>
      </x:c>
    </x:row>
    <x:row r="190">
      <x:c r="R190" s="45" t="str">
        <x:f>IF(OR(J190="",Q190&lt;&gt;""),"",COUNTIF($J$5:J190,J190))</x:f>
      </x:c>
      <x:c r="U190" s="45" t="str">
        <x:f>IF(OR(J190="",Q190&lt;&gt;""),"",J190*10+R190)</x:f>
      </x:c>
    </x:row>
    <x:row r="191">
      <x:c r="R191" s="45" t="str">
        <x:f>IF(OR(J191="",Q191&lt;&gt;""),"",COUNTIF($J$5:J191,J191))</x:f>
      </x:c>
      <x:c r="U191" s="45" t="str">
        <x:f>IF(OR(J191="",Q191&lt;&gt;""),"",J191*10+R191)</x:f>
      </x:c>
    </x:row>
    <x:row r="192">
      <x:c r="R192" s="45" t="str">
        <x:f>IF(OR(J192="",Q192&lt;&gt;""),"",COUNTIF($J$5:J192,J192))</x:f>
      </x:c>
      <x:c r="U192" s="45" t="str">
        <x:f>IF(OR(J192="",Q192&lt;&gt;""),"",J192*10+R192)</x:f>
      </x:c>
    </x:row>
    <x:row r="193">
      <x:c r="R193" s="45" t="str">
        <x:f>IF(OR(J193="",Q193&lt;&gt;""),"",COUNTIF($J$5:J193,J193))</x:f>
      </x:c>
      <x:c r="U193" s="45" t="str">
        <x:f>IF(OR(J193="",Q193&lt;&gt;""),"",J193*10+R193)</x:f>
      </x:c>
    </x:row>
    <x:row r="194">
      <x:c r="R194" s="45" t="str">
        <x:f>IF(OR(J194="",Q194&lt;&gt;""),"",COUNTIF($J$5:J194,J194))</x:f>
      </x:c>
      <x:c r="U194" s="45" t="str">
        <x:f>IF(OR(J194="",Q194&lt;&gt;""),"",J194*10+R194)</x:f>
      </x:c>
    </x:row>
    <x:row r="195">
      <x:c r="R195" s="45" t="str">
        <x:f>IF(OR(J195="",Q195&lt;&gt;""),"",COUNTIF($J$5:J195,J195))</x:f>
      </x:c>
      <x:c r="U195" s="45" t="str">
        <x:f>IF(OR(J195="",Q195&lt;&gt;""),"",J195*10+R195)</x:f>
      </x:c>
    </x:row>
    <x:row r="196">
      <x:c r="R196" s="45" t="str">
        <x:f>IF(OR(J196="",Q196&lt;&gt;""),"",COUNTIF($J$5:J196,J196))</x:f>
      </x:c>
      <x:c r="U196" s="45" t="str">
        <x:f>IF(OR(J196="",Q196&lt;&gt;""),"",J196*10+R196)</x:f>
      </x:c>
    </x:row>
    <x:row r="197">
      <x:c r="R197" s="45" t="str">
        <x:f>IF(OR(J197="",Q197&lt;&gt;""),"",COUNTIF($J$5:J197,J197))</x:f>
      </x:c>
      <x:c r="U197" s="45" t="str">
        <x:f>IF(OR(J197="",Q197&lt;&gt;""),"",J197*10+R197)</x:f>
      </x:c>
    </x:row>
    <x:row r="198">
      <x:c r="R198" s="45" t="str">
        <x:f>IF(OR(J198="",Q198&lt;&gt;""),"",COUNTIF($J$5:J198,J198))</x:f>
      </x:c>
      <x:c r="U198" s="45" t="str">
        <x:f>IF(OR(J198="",Q198&lt;&gt;""),"",J198*10+R198)</x:f>
      </x:c>
    </x:row>
    <x:row r="199">
      <x:c r="R199" s="45" t="str">
        <x:f>IF(OR(J199="",Q199&lt;&gt;""),"",COUNTIF($J$5:J199,J199))</x:f>
      </x:c>
      <x:c r="U199" s="45" t="str">
        <x:f>IF(OR(J199="",Q199&lt;&gt;""),"",J199*10+R199)</x:f>
      </x:c>
    </x:row>
    <x:row r="200">
      <x:c r="R200" s="45" t="str">
        <x:f>IF(OR(J200="",Q200&lt;&gt;""),"",COUNTIF($J$5:J200,J200))</x:f>
      </x:c>
      <x:c r="U200" s="45" t="str">
        <x:f>IF(OR(J200="",Q200&lt;&gt;""),"",J200*10+R200)</x:f>
      </x:c>
    </x:row>
    <x:row r="201">
      <x:c r="R201" s="45" t="str">
        <x:f>IF(OR(J201="",Q201&lt;&gt;""),"",COUNTIF($J$5:J201,J201))</x:f>
      </x:c>
      <x:c r="U201" s="45" t="str">
        <x:f>IF(OR(J201="",Q201&lt;&gt;""),"",J201*10+R201)</x:f>
      </x:c>
    </x:row>
    <x:row r="202">
      <x:c r="R202" s="45" t="str">
        <x:f>IF(OR(J202="",Q202&lt;&gt;""),"",COUNTIF($J$5:J202,J202))</x:f>
      </x:c>
      <x:c r="U202" s="45" t="str">
        <x:f>IF(OR(J202="",Q202&lt;&gt;""),"",J202*10+R202)</x:f>
      </x:c>
    </x:row>
    <x:row r="203">
      <x:c r="R203" s="45" t="str">
        <x:f>IF(OR(J203="",Q203&lt;&gt;""),"",COUNTIF($J$5:J203,J203))</x:f>
      </x:c>
      <x:c r="U203" s="45" t="str">
        <x:f>IF(OR(J203="",Q203&lt;&gt;""),"",J203*10+R203)</x:f>
      </x:c>
    </x:row>
    <x:row r="204">
      <x:c r="R204" s="45" t="str">
        <x:f>IF(OR(J204="",Q204&lt;&gt;""),"",COUNTIF($J$5:J204,J204))</x:f>
      </x:c>
      <x:c r="U204" s="45" t="str">
        <x:f>IF(OR(J204="",Q204&lt;&gt;""),"",J204*10+R204)</x:f>
      </x:c>
    </x:row>
    <x:row r="205">
      <x:c r="R205" s="45" t="str">
        <x:f>IF(OR(J205="",Q205&lt;&gt;""),"",COUNTIF($J$5:J205,J205))</x:f>
      </x:c>
      <x:c r="U205" s="45" t="str">
        <x:f>IF(OR(J205="",Q205&lt;&gt;""),"",J205*10+R205)</x:f>
      </x:c>
    </x:row>
    <x:row r="206">
      <x:c r="R206" s="45" t="str">
        <x:f>IF(OR(J206="",Q206&lt;&gt;""),"",COUNTIF($J$5:J206,J206))</x:f>
      </x:c>
      <x:c r="U206" s="45" t="str">
        <x:f>IF(OR(J206="",Q206&lt;&gt;""),"",J206*10+R206)</x:f>
      </x:c>
    </x:row>
    <x:row r="207">
      <x:c r="R207" s="45" t="str">
        <x:f>IF(OR(J207="",Q207&lt;&gt;""),"",COUNTIF($J$5:J207,J207))</x:f>
      </x:c>
      <x:c r="U207" s="45" t="str">
        <x:f>IF(OR(J207="",Q207&lt;&gt;""),"",J207*10+R207)</x:f>
      </x:c>
    </x:row>
    <x:row r="208">
      <x:c r="R208" s="45" t="str">
        <x:f>IF(OR(J208="",Q208&lt;&gt;""),"",COUNTIF($J$5:J208,J208))</x:f>
      </x:c>
      <x:c r="U208" s="45" t="str">
        <x:f>IF(OR(J208="",Q208&lt;&gt;""),"",J208*10+R208)</x:f>
      </x:c>
    </x:row>
    <x:row r="209">
      <x:c r="R209" s="45" t="str">
        <x:f>IF(OR(J209="",Q209&lt;&gt;""),"",COUNTIF($J$5:J209,J209))</x:f>
      </x:c>
      <x:c r="U209" s="45" t="str">
        <x:f>IF(OR(J209="",Q209&lt;&gt;""),"",J209*10+R209)</x:f>
      </x:c>
    </x:row>
    <x:row r="210">
      <x:c r="R210" s="45" t="str">
        <x:f>IF(OR(J210="",Q210&lt;&gt;""),"",COUNTIF($J$5:J210,J210))</x:f>
      </x:c>
      <x:c r="U210" s="45" t="str">
        <x:f>IF(OR(J210="",Q210&lt;&gt;""),"",J210*10+R210)</x:f>
      </x:c>
    </x:row>
    <x:row r="211">
      <x:c r="R211" s="45" t="str">
        <x:f>IF(OR(J211="",Q211&lt;&gt;""),"",COUNTIF($J$5:J211,J211))</x:f>
      </x:c>
      <x:c r="U211" s="45" t="str">
        <x:f>IF(OR(J211="",Q211&lt;&gt;""),"",J211*10+R211)</x:f>
      </x:c>
    </x:row>
    <x:row r="212">
      <x:c r="R212" s="45" t="str">
        <x:f>IF(OR(J212="",Q212&lt;&gt;""),"",COUNTIF($J$5:J212,J212))</x:f>
      </x:c>
      <x:c r="U212" s="45" t="str">
        <x:f>IF(OR(J212="",Q212&lt;&gt;""),"",J212*10+R212)</x:f>
      </x:c>
    </x:row>
    <x:row r="213">
      <x:c r="R213" s="45" t="str">
        <x:f>IF(OR(J213="",Q213&lt;&gt;""),"",COUNTIF($J$5:J213,J213))</x:f>
      </x:c>
      <x:c r="U213" s="45" t="str">
        <x:f>IF(OR(J213="",Q213&lt;&gt;""),"",J213*10+R213)</x:f>
      </x:c>
    </x:row>
    <x:row r="214">
      <x:c r="R214" s="45" t="str">
        <x:f>IF(OR(J214="",Q214&lt;&gt;""),"",COUNTIF($J$5:J214,J214))</x:f>
      </x:c>
      <x:c r="U214" s="45" t="str">
        <x:f>IF(OR(J214="",Q214&lt;&gt;""),"",J214*10+R214)</x:f>
      </x:c>
    </x:row>
    <x:row r="215">
      <x:c r="R215" s="45" t="str">
        <x:f>IF(OR(J215="",Q215&lt;&gt;""),"",COUNTIF($J$5:J215,J215))</x:f>
      </x:c>
      <x:c r="U215" s="45" t="str">
        <x:f>IF(OR(J215="",Q215&lt;&gt;""),"",J215*10+R215)</x:f>
      </x:c>
    </x:row>
    <x:row r="216">
      <x:c r="R216" s="45" t="str">
        <x:f>IF(OR(J216="",Q216&lt;&gt;""),"",COUNTIF($J$5:J216,J216))</x:f>
      </x:c>
      <x:c r="U216" s="45" t="str">
        <x:f>IF(OR(J216="",Q216&lt;&gt;""),"",J216*10+R216)</x:f>
      </x:c>
    </x:row>
    <x:row r="217">
      <x:c r="R217" s="45" t="str">
        <x:f>IF(OR(J217="",Q217&lt;&gt;""),"",COUNTIF($J$5:J217,J217))</x:f>
      </x:c>
      <x:c r="U217" s="45" t="str">
        <x:f>IF(OR(J217="",Q217&lt;&gt;""),"",J217*10+R217)</x:f>
      </x:c>
    </x:row>
    <x:row r="218">
      <x:c r="R218" s="45" t="str">
        <x:f>IF(OR(J218="",Q218&lt;&gt;""),"",COUNTIF($J$5:J218,J218))</x:f>
      </x:c>
      <x:c r="U218" s="45" t="str">
        <x:f>IF(OR(J218="",Q218&lt;&gt;""),"",J218*10+R218)</x:f>
      </x:c>
    </x:row>
    <x:row r="219">
      <x:c r="R219" s="45" t="str">
        <x:f>IF(OR(J219="",Q219&lt;&gt;""),"",COUNTIF($J$5:J219,J219))</x:f>
      </x:c>
      <x:c r="U219" s="45" t="str">
        <x:f>IF(OR(J219="",Q219&lt;&gt;""),"",J219*10+R219)</x:f>
      </x:c>
    </x:row>
    <x:row r="220">
      <x:c r="R220" s="45" t="str">
        <x:f>IF(OR(J220="",Q220&lt;&gt;""),"",COUNTIF($J$5:J220,J220))</x:f>
      </x:c>
      <x:c r="U220" s="45" t="str">
        <x:f>IF(OR(J220="",Q220&lt;&gt;""),"",J220*10+R220)</x:f>
      </x:c>
    </x:row>
    <x:row r="221">
      <x:c r="R221" s="45" t="str">
        <x:f>IF(OR(J221="",Q221&lt;&gt;""),"",COUNTIF($J$5:J221,J221))</x:f>
      </x:c>
      <x:c r="U221" s="45" t="str">
        <x:f>IF(OR(J221="",Q221&lt;&gt;""),"",J221*10+R221)</x:f>
      </x:c>
    </x:row>
    <x:row r="222">
      <x:c r="R222" s="45" t="str">
        <x:f>IF(OR(J222="",Q222&lt;&gt;""),"",COUNTIF($J$5:J222,J222))</x:f>
      </x:c>
      <x:c r="U222" s="45" t="str">
        <x:f>IF(OR(J222="",Q222&lt;&gt;""),"",J222*10+R222)</x:f>
      </x:c>
    </x:row>
    <x:row r="223">
      <x:c r="R223" s="45" t="str">
        <x:f>IF(OR(J223="",Q223&lt;&gt;""),"",COUNTIF($J$5:J223,J223))</x:f>
      </x:c>
      <x:c r="U223" s="45" t="str">
        <x:f>IF(OR(J223="",Q223&lt;&gt;""),"",J223*10+R223)</x:f>
      </x:c>
    </x:row>
    <x:row r="224">
      <x:c r="R224" s="45" t="str">
        <x:f>IF(OR(J224="",Q224&lt;&gt;""),"",COUNTIF($J$5:J224,J224))</x:f>
      </x:c>
      <x:c r="U224" s="45" t="str">
        <x:f>IF(OR(J224="",Q224&lt;&gt;""),"",J224*10+R224)</x:f>
      </x:c>
    </x:row>
    <x:row r="225">
      <x:c r="R225" s="45" t="str">
        <x:f>IF(OR(J225="",Q225&lt;&gt;""),"",COUNTIF($J$5:J225,J225))</x:f>
      </x:c>
      <x:c r="U225" s="45" t="str">
        <x:f>IF(OR(J225="",Q225&lt;&gt;""),"",J225*10+R225)</x:f>
      </x:c>
    </x:row>
    <x:row r="226">
      <x:c r="R226" s="45" t="str">
        <x:f>IF(OR(J226="",Q226&lt;&gt;""),"",COUNTIF($J$5:J226,J226))</x:f>
      </x:c>
      <x:c r="U226" s="45" t="str">
        <x:f>IF(OR(J226="",Q226&lt;&gt;""),"",J226*10+R226)</x:f>
      </x:c>
    </x:row>
    <x:row r="227">
      <x:c r="R227" s="45" t="str">
        <x:f>IF(OR(J227="",Q227&lt;&gt;""),"",COUNTIF($J$5:J227,J227))</x:f>
      </x:c>
      <x:c r="U227" s="45" t="str">
        <x:f>IF(OR(J227="",Q227&lt;&gt;""),"",J227*10+R227)</x:f>
      </x:c>
    </x:row>
    <x:row r="228">
      <x:c r="R228" s="45" t="str">
        <x:f>IF(OR(J228="",Q228&lt;&gt;""),"",COUNTIF($J$5:J228,J228))</x:f>
      </x:c>
      <x:c r="U228" s="45" t="str">
        <x:f>IF(OR(J228="",Q228&lt;&gt;""),"",J228*10+R228)</x:f>
      </x:c>
    </x:row>
    <x:row r="229">
      <x:c r="R229" s="45" t="str">
        <x:f>IF(OR(J229="",Q229&lt;&gt;""),"",COUNTIF($J$5:J229,J229))</x:f>
      </x:c>
      <x:c r="U229" s="45" t="str">
        <x:f>IF(OR(J229="",Q229&lt;&gt;""),"",J229*10+R229)</x:f>
      </x:c>
    </x:row>
    <x:row r="230">
      <x:c r="R230" s="45" t="str">
        <x:f>IF(OR(J230="",Q230&lt;&gt;""),"",COUNTIF($J$5:J230,J230))</x:f>
      </x:c>
      <x:c r="U230" s="45" t="str">
        <x:f>IF(OR(J230="",Q230&lt;&gt;""),"",J230*10+R230)</x:f>
      </x:c>
    </x:row>
    <x:row r="231">
      <x:c r="R231" s="45" t="str">
        <x:f>IF(OR(J231="",Q231&lt;&gt;""),"",COUNTIF($J$5:J231,J231))</x:f>
      </x:c>
      <x:c r="U231" s="45" t="str">
        <x:f>IF(OR(J231="",Q231&lt;&gt;""),"",J231*10+R231)</x:f>
      </x:c>
    </x:row>
    <x:row r="232">
      <x:c r="R232" s="45" t="str">
        <x:f>IF(OR(J232="",Q232&lt;&gt;""),"",COUNTIF($J$5:J232,J232))</x:f>
      </x:c>
      <x:c r="U232" s="45" t="str">
        <x:f>IF(OR(J232="",Q232&lt;&gt;""),"",J232*10+R232)</x:f>
      </x:c>
    </x:row>
    <x:row r="233">
      <x:c r="R233" s="45" t="str">
        <x:f>IF(OR(J233="",Q233&lt;&gt;""),"",COUNTIF($J$5:J233,J233))</x:f>
      </x:c>
      <x:c r="U233" s="45" t="str">
        <x:f>IF(OR(J233="",Q233&lt;&gt;""),"",J233*10+R233)</x:f>
      </x:c>
    </x:row>
    <x:row r="234">
      <x:c r="R234" s="45" t="str">
        <x:f>IF(OR(J234="",Q234&lt;&gt;""),"",COUNTIF($J$5:J234,J234))</x:f>
      </x:c>
      <x:c r="U234" s="45" t="str">
        <x:f>IF(OR(J234="",Q234&lt;&gt;""),"",J234*10+R234)</x:f>
      </x:c>
    </x:row>
    <x:row r="235">
      <x:c r="R235" s="45" t="str">
        <x:f>IF(OR(J235="",Q235&lt;&gt;""),"",COUNTIF($J$5:J235,J235))</x:f>
      </x:c>
      <x:c r="U235" s="45" t="str">
        <x:f>IF(OR(J235="",Q235&lt;&gt;""),"",J235*10+R235)</x:f>
      </x:c>
    </x:row>
    <x:row r="236">
      <x:c r="R236" s="45" t="str">
        <x:f>IF(OR(J236="",Q236&lt;&gt;""),"",COUNTIF($J$5:J236,J236))</x:f>
      </x:c>
      <x:c r="U236" s="45" t="str">
        <x:f>IF(OR(J236="",Q236&lt;&gt;""),"",J236*10+R236)</x:f>
      </x:c>
    </x:row>
    <x:row r="237">
      <x:c r="R237" s="45" t="str">
        <x:f>IF(OR(J237="",Q237&lt;&gt;""),"",COUNTIF($J$5:J237,J237))</x:f>
      </x:c>
      <x:c r="U237" s="45" t="str">
        <x:f>IF(OR(J237="",Q237&lt;&gt;""),"",J237*10+R237)</x:f>
      </x:c>
    </x:row>
    <x:row r="238">
      <x:c r="R238" s="45" t="str">
        <x:f>IF(OR(J238="",Q238&lt;&gt;""),"",COUNTIF($J$5:J238,J238))</x:f>
      </x:c>
      <x:c r="U238" s="45" t="str">
        <x:f>IF(OR(J238="",Q238&lt;&gt;""),"",J238*10+R238)</x:f>
      </x:c>
    </x:row>
    <x:row r="239">
      <x:c r="R239" s="45" t="str">
        <x:f>IF(OR(J239="",Q239&lt;&gt;""),"",COUNTIF($J$5:J239,J239))</x:f>
      </x:c>
      <x:c r="U239" s="45" t="str">
        <x:f>IF(OR(J239="",Q239&lt;&gt;""),"",J239*10+R239)</x:f>
      </x:c>
    </x:row>
    <x:row r="240">
      <x:c r="R240" s="45" t="str">
        <x:f>IF(OR(J240="",Q240&lt;&gt;""),"",COUNTIF($J$5:J240,J240))</x:f>
      </x:c>
      <x:c r="U240" s="45" t="str">
        <x:f>IF(OR(J240="",Q240&lt;&gt;""),"",J240*10+R240)</x:f>
      </x:c>
    </x:row>
    <x:row r="241">
      <x:c r="R241" s="45" t="str">
        <x:f>IF(OR(J241="",Q241&lt;&gt;""),"",COUNTIF($J$5:J241,J241))</x:f>
      </x:c>
      <x:c r="U241" s="45" t="str">
        <x:f>IF(OR(J241="",Q241&lt;&gt;""),"",J241*10+R241)</x:f>
      </x:c>
    </x:row>
    <x:row r="242">
      <x:c r="R242" s="45" t="str">
        <x:f>IF(OR(J242="",Q242&lt;&gt;""),"",COUNTIF($J$5:J242,J242))</x:f>
      </x:c>
      <x:c r="U242" s="45" t="str">
        <x:f>IF(OR(J242="",Q242&lt;&gt;""),"",J242*10+R242)</x:f>
      </x:c>
    </x:row>
    <x:row r="243">
      <x:c r="R243" s="45" t="str">
        <x:f>IF(OR(J243="",Q243&lt;&gt;""),"",COUNTIF($J$5:J243,J243))</x:f>
      </x:c>
      <x:c r="U243" s="45" t="str">
        <x:f>IF(OR(J243="",Q243&lt;&gt;""),"",J243*10+R243)</x:f>
      </x:c>
    </x:row>
    <x:row r="244">
      <x:c r="R244" s="45" t="str">
        <x:f>IF(OR(J244="",Q244&lt;&gt;""),"",COUNTIF($J$5:J244,J244))</x:f>
      </x:c>
      <x:c r="U244" s="45" t="str">
        <x:f>IF(OR(J244="",Q244&lt;&gt;""),"",J244*10+R244)</x:f>
      </x:c>
    </x:row>
    <x:row r="245">
      <x:c r="R245" s="45" t="str">
        <x:f>IF(OR(J245="",Q245&lt;&gt;""),"",COUNTIF($J$5:J245,J245))</x:f>
      </x:c>
      <x:c r="U245" s="45" t="str">
        <x:f>IF(OR(J245="",Q245&lt;&gt;""),"",J245*10+R245)</x:f>
      </x:c>
    </x:row>
    <x:row r="246">
      <x:c r="R246" s="45" t="str">
        <x:f>IF(OR(J246="",Q246&lt;&gt;""),"",COUNTIF($J$5:J246,J246))</x:f>
      </x:c>
      <x:c r="U246" s="45" t="str">
        <x:f>IF(OR(J246="",Q246&lt;&gt;""),"",J246*10+R246)</x:f>
      </x:c>
    </x:row>
    <x:row r="247">
      <x:c r="R247" s="45" t="str">
        <x:f>IF(OR(J247="",Q247&lt;&gt;""),"",COUNTIF($J$5:J247,J247))</x:f>
      </x:c>
      <x:c r="U247" s="45" t="str">
        <x:f>IF(OR(J247="",Q247&lt;&gt;""),"",J247*10+R247)</x:f>
      </x:c>
    </x:row>
    <x:row r="248">
      <x:c r="R248" s="45" t="str">
        <x:f>IF(OR(J248="",Q248&lt;&gt;""),"",COUNTIF($J$5:J248,J248))</x:f>
      </x:c>
      <x:c r="U248" s="45" t="str">
        <x:f>IF(OR(J248="",Q248&lt;&gt;""),"",J248*10+R248)</x:f>
      </x:c>
    </x:row>
    <x:row r="249">
      <x:c r="R249" s="45" t="str">
        <x:f>IF(OR(J249="",Q249&lt;&gt;""),"",COUNTIF($J$5:J249,J249))</x:f>
      </x:c>
      <x:c r="U249" s="45" t="str">
        <x:f>IF(OR(J249="",Q249&lt;&gt;""),"",J249*10+R249)</x:f>
      </x:c>
    </x:row>
    <x:row r="250">
      <x:c r="R250" s="45" t="str">
        <x:f>IF(OR(J250="",Q250&lt;&gt;""),"",COUNTIF($J$5:J250,J250))</x:f>
      </x:c>
      <x:c r="U250" s="45" t="str">
        <x:f>IF(OR(J250="",Q250&lt;&gt;""),"",J250*10+R250)</x:f>
      </x:c>
    </x:row>
    <x:row r="251">
      <x:c r="R251" s="45" t="str">
        <x:f>IF(OR(J251="",Q251&lt;&gt;""),"",COUNTIF($J$5:J251,J251))</x:f>
      </x:c>
      <x:c r="U251" s="45" t="str">
        <x:f>IF(OR(J251="",Q251&lt;&gt;""),"",J251*10+R251)</x:f>
      </x:c>
    </x:row>
    <x:row r="252">
      <x:c r="R252" s="45" t="str">
        <x:f>IF(OR(J252="",Q252&lt;&gt;""),"",COUNTIF($J$5:J252,J252))</x:f>
      </x:c>
      <x:c r="U252" s="45" t="str">
        <x:f>IF(OR(J252="",Q252&lt;&gt;""),"",J252*10+R252)</x:f>
      </x:c>
    </x:row>
    <x:row r="253">
      <x:c r="R253" s="45" t="str">
        <x:f>IF(OR(J253="",Q253&lt;&gt;""),"",COUNTIF($J$5:J253,J253))</x:f>
      </x:c>
      <x:c r="U253" s="45" t="str">
        <x:f>IF(OR(J253="",Q253&lt;&gt;""),"",J253*10+R253)</x:f>
      </x:c>
    </x:row>
    <x:row r="254">
      <x:c r="R254" s="45" t="str">
        <x:f>IF(OR(J254="",Q254&lt;&gt;""),"",COUNTIF($J$5:J254,J254))</x:f>
      </x:c>
      <x:c r="U254" s="45" t="str">
        <x:f>IF(OR(J254="",Q254&lt;&gt;""),"",J254*10+R254)</x:f>
      </x:c>
    </x:row>
    <x:row r="255">
      <x:c r="R255" s="45" t="str">
        <x:f>IF(OR(J255="",Q255&lt;&gt;""),"",COUNTIF($J$5:J255,J255))</x:f>
      </x:c>
      <x:c r="U255" s="45" t="str">
        <x:f>IF(OR(J255="",Q255&lt;&gt;""),"",J255*10+R255)</x:f>
      </x:c>
    </x:row>
    <x:row r="256">
      <x:c r="R256" s="45" t="str">
        <x:f>IF(OR(J256="",Q256&lt;&gt;""),"",COUNTIF($J$5:J256,J256))</x:f>
      </x:c>
      <x:c r="U256" s="45" t="str">
        <x:f>IF(OR(J256="",Q256&lt;&gt;""),"",J256*10+R256)</x:f>
      </x:c>
    </x:row>
    <x:row r="257">
      <x:c r="R257" s="45" t="str">
        <x:f>IF(OR(J257="",Q257&lt;&gt;""),"",COUNTIF($J$5:J257,J257))</x:f>
      </x:c>
      <x:c r="U257" s="45" t="str">
        <x:f>IF(OR(J257="",Q257&lt;&gt;""),"",J257*10+R257)</x:f>
      </x:c>
    </x:row>
    <x:row r="258">
      <x:c r="R258" s="45" t="str">
        <x:f>IF(OR(J258="",Q258&lt;&gt;""),"",COUNTIF($J$5:J258,J258))</x:f>
      </x:c>
      <x:c r="U258" s="45" t="str">
        <x:f>IF(OR(J258="",Q258&lt;&gt;""),"",J258*10+R258)</x:f>
      </x:c>
    </x:row>
    <x:row r="259">
      <x:c r="R259" s="45" t="str">
        <x:f>IF(OR(J259="",Q259&lt;&gt;""),"",COUNTIF($J$5:J259,J259))</x:f>
      </x:c>
      <x:c r="U259" s="45" t="str">
        <x:f>IF(OR(J259="",Q259&lt;&gt;""),"",J259*10+R259)</x:f>
      </x:c>
    </x:row>
    <x:row r="260">
      <x:c r="R260" s="45" t="str">
        <x:f>IF(OR(J260="",Q260&lt;&gt;""),"",COUNTIF($J$5:J260,J260))</x:f>
      </x:c>
      <x:c r="U260" s="45" t="str">
        <x:f>IF(OR(J260="",Q260&lt;&gt;""),"",J260*10+R260)</x:f>
      </x:c>
    </x:row>
    <x:row r="261">
      <x:c r="R261" s="45" t="str">
        <x:f>IF(OR(J261="",Q261&lt;&gt;""),"",COUNTIF($J$5:J261,J261))</x:f>
      </x:c>
      <x:c r="U261" s="45" t="str">
        <x:f>IF(OR(J261="",Q261&lt;&gt;""),"",J261*10+R261)</x:f>
      </x:c>
    </x:row>
    <x:row r="262">
      <x:c r="R262" s="45" t="str">
        <x:f>IF(OR(J262="",Q262&lt;&gt;""),"",COUNTIF($J$5:J262,J262))</x:f>
      </x:c>
      <x:c r="U262" s="45" t="str">
        <x:f>IF(OR(J262="",Q262&lt;&gt;""),"",J262*10+R262)</x:f>
      </x:c>
    </x:row>
    <x:row r="263">
      <x:c r="R263" s="45" t="str">
        <x:f>IF(OR(J263="",Q263&lt;&gt;""),"",COUNTIF($J$5:J263,J263))</x:f>
      </x:c>
      <x:c r="U263" s="45" t="str">
        <x:f>IF(OR(J263="",Q263&lt;&gt;""),"",J263*10+R263)</x:f>
      </x:c>
    </x:row>
    <x:row r="264">
      <x:c r="R264" s="45" t="str">
        <x:f>IF(OR(J264="",Q264&lt;&gt;""),"",COUNTIF($J$5:J264,J264))</x:f>
      </x:c>
      <x:c r="U264" s="45" t="str">
        <x:f>IF(OR(J264="",Q264&lt;&gt;""),"",J264*10+R264)</x:f>
      </x:c>
    </x:row>
    <x:row r="265">
      <x:c r="R265" s="45" t="str">
        <x:f>IF(OR(J265="",Q265&lt;&gt;""),"",COUNTIF($J$5:J265,J265))</x:f>
      </x:c>
      <x:c r="U265" s="45" t="str">
        <x:f>IF(OR(J265="",Q265&lt;&gt;""),"",J265*10+R265)</x:f>
      </x:c>
    </x:row>
    <x:row r="266">
      <x:c r="R266" s="45" t="str">
        <x:f>IF(OR(J266="",Q266&lt;&gt;""),"",COUNTIF($J$5:J266,J266))</x:f>
      </x:c>
      <x:c r="U266" s="45" t="str">
        <x:f>IF(OR(J266="",Q266&lt;&gt;""),"",J266*10+R266)</x:f>
      </x:c>
    </x:row>
    <x:row r="267">
      <x:c r="R267" s="45" t="str">
        <x:f>IF(OR(J267="",Q267&lt;&gt;""),"",COUNTIF($J$5:J267,J267))</x:f>
      </x:c>
      <x:c r="U267" s="45" t="str">
        <x:f>IF(OR(J267="",Q267&lt;&gt;""),"",J267*10+R267)</x:f>
      </x:c>
    </x:row>
    <x:row r="268">
      <x:c r="R268" s="45" t="str">
        <x:f>IF(OR(J268="",Q268&lt;&gt;""),"",COUNTIF($J$5:J268,J268))</x:f>
      </x:c>
      <x:c r="U268" s="45" t="str">
        <x:f>IF(OR(J268="",Q268&lt;&gt;""),"",J268*10+R268)</x:f>
      </x:c>
    </x:row>
    <x:row r="269">
      <x:c r="R269" s="45" t="str">
        <x:f>IF(OR(J269="",Q269&lt;&gt;""),"",COUNTIF($J$5:J269,J269))</x:f>
      </x:c>
      <x:c r="U269" s="45" t="str">
        <x:f>IF(OR(J269="",Q269&lt;&gt;""),"",J269*10+R269)</x:f>
      </x:c>
    </x:row>
    <x:row r="270">
      <x:c r="R270" s="45" t="str">
        <x:f>IF(OR(J270="",Q270&lt;&gt;""),"",COUNTIF($J$5:J270,J270))</x:f>
      </x:c>
      <x:c r="U270" s="45" t="str">
        <x:f>IF(OR(J270="",Q270&lt;&gt;""),"",J270*10+R270)</x:f>
      </x:c>
    </x:row>
    <x:row r="271">
      <x:c r="R271" s="45" t="str">
        <x:f>IF(OR(J271="",Q271&lt;&gt;""),"",COUNTIF($J$5:J271,J271))</x:f>
      </x:c>
      <x:c r="U271" s="45" t="str">
        <x:f>IF(OR(J271="",Q271&lt;&gt;""),"",J271*10+R271)</x:f>
      </x:c>
    </x:row>
    <x:row r="272">
      <x:c r="R272" s="45" t="str">
        <x:f>IF(OR(J272="",Q272&lt;&gt;""),"",COUNTIF($J$5:J272,J272))</x:f>
      </x:c>
      <x:c r="U272" s="45" t="str">
        <x:f>IF(OR(J272="",Q272&lt;&gt;""),"",J272*10+R272)</x:f>
      </x:c>
    </x:row>
    <x:row r="273">
      <x:c r="R273" s="45" t="str">
        <x:f>IF(OR(J273="",Q273&lt;&gt;""),"",COUNTIF($J$5:J273,J273))</x:f>
      </x:c>
      <x:c r="U273" s="45" t="str">
        <x:f>IF(OR(J273="",Q273&lt;&gt;""),"",J273*10+R273)</x:f>
      </x:c>
    </x:row>
    <x:row r="274">
      <x:c r="R274" s="45" t="str">
        <x:f>IF(OR(J274="",Q274&lt;&gt;""),"",COUNTIF($J$5:J274,J274))</x:f>
      </x:c>
      <x:c r="U274" s="45" t="str">
        <x:f>IF(OR(J274="",Q274&lt;&gt;""),"",J274*10+R274)</x:f>
      </x:c>
    </x:row>
    <x:row r="275">
      <x:c r="R275" s="45" t="str">
        <x:f>IF(OR(J275="",Q275&lt;&gt;""),"",COUNTIF($J$5:J275,J275))</x:f>
      </x:c>
      <x:c r="U275" s="45" t="str">
        <x:f>IF(OR(J275="",Q275&lt;&gt;""),"",J275*10+R275)</x:f>
      </x:c>
    </x:row>
    <x:row r="276">
      <x:c r="R276" s="45" t="str">
        <x:f>IF(OR(J276="",Q276&lt;&gt;""),"",COUNTIF($J$5:J276,J276))</x:f>
      </x:c>
      <x:c r="U276" s="45" t="str">
        <x:f>IF(OR(J276="",Q276&lt;&gt;""),"",J276*10+R276)</x:f>
      </x:c>
    </x:row>
    <x:row r="277">
      <x:c r="R277" s="45" t="str">
        <x:f>IF(OR(J277="",Q277&lt;&gt;""),"",COUNTIF($J$5:J277,J277))</x:f>
      </x:c>
      <x:c r="U277" s="45" t="str">
        <x:f>IF(OR(J277="",Q277&lt;&gt;""),"",J277*10+R277)</x:f>
      </x:c>
    </x:row>
    <x:row r="278">
      <x:c r="R278" s="45" t="str">
        <x:f>IF(OR(J278="",Q278&lt;&gt;""),"",COUNTIF($J$5:J278,J278))</x:f>
      </x:c>
      <x:c r="U278" s="45" t="str">
        <x:f>IF(OR(J278="",Q278&lt;&gt;""),"",J278*10+R278)</x:f>
      </x:c>
    </x:row>
    <x:row r="279">
      <x:c r="R279" s="45" t="str">
        <x:f>IF(OR(J279="",Q279&lt;&gt;""),"",COUNTIF($J$5:J279,J279))</x:f>
      </x:c>
      <x:c r="U279" s="45" t="str">
        <x:f>IF(OR(J279="",Q279&lt;&gt;""),"",J279*10+R279)</x:f>
      </x:c>
    </x:row>
    <x:row r="280">
      <x:c r="R280" s="45" t="str">
        <x:f>IF(OR(J280="",Q280&lt;&gt;""),"",COUNTIF($J$5:J280,J280))</x:f>
      </x:c>
      <x:c r="U280" s="45" t="str">
        <x:f>IF(OR(J280="",Q280&lt;&gt;""),"",J280*10+R280)</x:f>
      </x:c>
    </x:row>
    <x:row r="281">
      <x:c r="R281" s="45" t="str">
        <x:f>IF(OR(J281="",Q281&lt;&gt;""),"",COUNTIF($J$5:J281,J281))</x:f>
      </x:c>
      <x:c r="U281" s="45" t="str">
        <x:f>IF(OR(J281="",Q281&lt;&gt;""),"",J281*10+R281)</x:f>
      </x:c>
    </x:row>
    <x:row r="282">
      <x:c r="R282" s="45" t="str">
        <x:f>IF(OR(J282="",Q282&lt;&gt;""),"",COUNTIF($J$5:J282,J282))</x:f>
      </x:c>
      <x:c r="U282" s="45" t="str">
        <x:f>IF(OR(J282="",Q282&lt;&gt;""),"",J282*10+R282)</x:f>
      </x:c>
    </x:row>
    <x:row r="283">
      <x:c r="R283" s="45" t="str">
        <x:f>IF(OR(J283="",Q283&lt;&gt;""),"",COUNTIF($J$5:J283,J283))</x:f>
      </x:c>
      <x:c r="U283" s="45" t="str">
        <x:f>IF(OR(J283="",Q283&lt;&gt;""),"",J283*10+R283)</x:f>
      </x:c>
    </x:row>
    <x:row r="284">
      <x:c r="R284" s="45" t="str">
        <x:f>IF(OR(J284="",Q284&lt;&gt;""),"",COUNTIF($J$5:J284,J284))</x:f>
      </x:c>
      <x:c r="U284" s="45" t="str">
        <x:f>IF(OR(J284="",Q284&lt;&gt;""),"",J284*10+R284)</x:f>
      </x:c>
    </x:row>
    <x:row r="285">
      <x:c r="R285" s="45" t="str">
        <x:f>IF(OR(J285="",Q285&lt;&gt;""),"",COUNTIF($J$5:J285,J285))</x:f>
      </x:c>
      <x:c r="U285" s="45" t="str">
        <x:f>IF(OR(J285="",Q285&lt;&gt;""),"",J285*10+R285)</x:f>
      </x:c>
    </x:row>
    <x:row r="286">
      <x:c r="R286" s="45" t="str">
        <x:f>IF(OR(J286="",Q286&lt;&gt;""),"",COUNTIF($J$5:J286,J286))</x:f>
      </x:c>
      <x:c r="U286" s="45" t="str">
        <x:f>IF(OR(J286="",Q286&lt;&gt;""),"",J286*10+R286)</x:f>
      </x:c>
    </x:row>
    <x:row r="287">
      <x:c r="R287" s="45" t="str">
        <x:f>IF(OR(J287="",Q287&lt;&gt;""),"",COUNTIF($J$5:J287,J287))</x:f>
      </x:c>
      <x:c r="U287" s="45" t="str">
        <x:f>IF(OR(J287="",Q287&lt;&gt;""),"",J287*10+R287)</x:f>
      </x:c>
    </x:row>
    <x:row r="288">
      <x:c r="R288" s="45" t="str">
        <x:f>IF(OR(J288="",Q288&lt;&gt;""),"",COUNTIF($J$5:J288,J288))</x:f>
      </x:c>
      <x:c r="U288" s="45" t="str">
        <x:f>IF(OR(J288="",Q288&lt;&gt;""),"",J288*10+R288)</x:f>
      </x:c>
    </x:row>
    <x:row r="289">
      <x:c r="R289" s="45" t="str">
        <x:f>IF(OR(J289="",Q289&lt;&gt;""),"",COUNTIF($J$5:J289,J289))</x:f>
      </x:c>
      <x:c r="U289" s="45" t="str">
        <x:f>IF(OR(J289="",Q289&lt;&gt;""),"",J289*10+R289)</x:f>
      </x:c>
    </x:row>
    <x:row r="290">
      <x:c r="R290" s="45" t="str">
        <x:f>IF(OR(J290="",Q290&lt;&gt;""),"",COUNTIF($J$5:J290,J290))</x:f>
      </x:c>
      <x:c r="U290" s="45" t="str">
        <x:f>IF(OR(J290="",Q290&lt;&gt;""),"",J290*10+R290)</x:f>
      </x:c>
    </x:row>
    <x:row r="291">
      <x:c r="R291" s="45" t="str">
        <x:f>IF(OR(J291="",Q291&lt;&gt;""),"",COUNTIF($J$5:J291,J291))</x:f>
      </x:c>
      <x:c r="U291" s="45" t="str">
        <x:f>IF(OR(J291="",Q291&lt;&gt;""),"",J291*10+R291)</x:f>
      </x:c>
    </x:row>
    <x:row r="292">
      <x:c r="R292" s="45" t="str">
        <x:f>IF(OR(J292="",Q292&lt;&gt;""),"",COUNTIF($J$5:J292,J292))</x:f>
      </x:c>
      <x:c r="U292" s="45" t="str">
        <x:f>IF(OR(J292="",Q292&lt;&gt;""),"",J292*10+R292)</x:f>
      </x:c>
    </x:row>
    <x:row r="293">
      <x:c r="R293" s="45" t="str">
        <x:f>IF(OR(J293="",Q293&lt;&gt;""),"",COUNTIF($J$5:J293,J293))</x:f>
      </x:c>
      <x:c r="U293" s="45" t="str">
        <x:f>IF(OR(J293="",Q293&lt;&gt;""),"",J293*10+R293)</x:f>
      </x:c>
    </x:row>
    <x:row r="294">
      <x:c r="R294" s="45" t="str">
        <x:f>IF(OR(J294="",Q294&lt;&gt;""),"",COUNTIF($J$5:J294,J294))</x:f>
      </x:c>
      <x:c r="U294" s="45" t="str">
        <x:f>IF(OR(J294="",Q294&lt;&gt;""),"",J294*10+R294)</x:f>
      </x:c>
    </x:row>
    <x:row r="295">
      <x:c r="R295" s="45" t="str">
        <x:f>IF(OR(J295="",Q295&lt;&gt;""),"",COUNTIF($J$5:J295,J295))</x:f>
      </x:c>
      <x:c r="U295" s="45" t="str">
        <x:f>IF(OR(J295="",Q295&lt;&gt;""),"",J295*10+R295)</x:f>
      </x:c>
    </x:row>
    <x:row r="296">
      <x:c r="R296" s="45" t="str">
        <x:f>IF(OR(J296="",Q296&lt;&gt;""),"",COUNTIF($J$5:J296,J296))</x:f>
      </x:c>
      <x:c r="U296" s="45" t="str">
        <x:f>IF(OR(J296="",Q296&lt;&gt;""),"",J296*10+R296)</x:f>
      </x:c>
    </x:row>
    <x:row r="297">
      <x:c r="R297" s="45" t="str">
        <x:f>IF(OR(J297="",Q297&lt;&gt;""),"",COUNTIF($J$5:J297,J297))</x:f>
      </x:c>
      <x:c r="U297" s="45" t="str">
        <x:f>IF(OR(J297="",Q297&lt;&gt;""),"",J297*10+R297)</x:f>
      </x:c>
    </x:row>
    <x:row r="298">
      <x:c r="R298" s="45" t="str">
        <x:f>IF(OR(J298="",Q298&lt;&gt;""),"",COUNTIF($J$5:J298,J298))</x:f>
      </x:c>
      <x:c r="U298" s="45" t="str">
        <x:f>IF(OR(J298="",Q298&lt;&gt;""),"",J298*10+R298)</x:f>
      </x:c>
    </x:row>
    <x:row r="299">
      <x:c r="R299" s="45" t="str">
        <x:f>IF(OR(J299="",Q299&lt;&gt;""),"",COUNTIF($J$5:J299,J299))</x:f>
      </x:c>
      <x:c r="U299" s="45" t="str">
        <x:f>IF(OR(J299="",Q299&lt;&gt;""),"",J299*10+R299)</x:f>
      </x:c>
    </x:row>
    <x:row r="300">
      <x:c r="R300" s="45" t="str">
        <x:f>IF(OR(J300="",Q300&lt;&gt;""),"",COUNTIF($J$5:J300,J300))</x:f>
      </x:c>
      <x:c r="U300" s="45" t="str">
        <x:f>IF(OR(J300="",Q300&lt;&gt;""),"",J300*10+R300)</x:f>
      </x:c>
    </x:row>
    <x:row r="301">
      <x:c r="R301" s="45" t="str">
        <x:f>IF(OR(J301="",Q301&lt;&gt;""),"",COUNTIF($J$5:J301,J301))</x:f>
      </x:c>
      <x:c r="U301" s="45" t="str">
        <x:f>IF(OR(J301="",Q301&lt;&gt;""),"",J301*10+R301)</x:f>
      </x:c>
    </x:row>
    <x:row r="302">
      <x:c r="R302" s="45" t="str">
        <x:f>IF(OR(J302="",Q302&lt;&gt;""),"",COUNTIF($J$5:J302,J302))</x:f>
      </x:c>
      <x:c r="U302" s="45" t="str">
        <x:f>IF(OR(J302="",Q302&lt;&gt;""),"",J302*10+R302)</x:f>
      </x:c>
    </x:row>
    <x:row r="303">
      <x:c r="R303" s="45" t="str">
        <x:f>IF(OR(J303="",Q303&lt;&gt;""),"",COUNTIF($J$5:J303,J303))</x:f>
      </x:c>
      <x:c r="U303" s="45" t="str">
        <x:f>IF(OR(J303="",Q303&lt;&gt;""),"",J303*10+R303)</x:f>
      </x:c>
    </x:row>
    <x:row r="304">
      <x:c r="R304" s="45" t="str">
        <x:f>IF(OR(J304="",Q304&lt;&gt;""),"",COUNTIF($J$5:J304,J304))</x:f>
      </x:c>
      <x:c r="U304" s="45" t="str">
        <x:f>IF(OR(J304="",Q304&lt;&gt;""),"",J304*10+R304)</x:f>
      </x:c>
    </x:row>
    <x:row r="305">
      <x:c r="R305" s="45" t="str">
        <x:f>IF(OR(J305="",Q305&lt;&gt;""),"",COUNTIF($J$5:J305,J305))</x:f>
      </x:c>
      <x:c r="U305" s="45" t="str">
        <x:f>IF(OR(J305="",Q305&lt;&gt;""),"",J305*10+R305)</x:f>
      </x:c>
    </x:row>
    <x:row r="306">
      <x:c r="R306" s="45" t="str">
        <x:f>IF(OR(J306="",Q306&lt;&gt;""),"",COUNTIF($J$5:J306,J306))</x:f>
      </x:c>
      <x:c r="U306" s="45" t="str">
        <x:f>IF(OR(J306="",Q306&lt;&gt;""),"",J306*10+R306)</x:f>
      </x:c>
    </x:row>
    <x:row r="307">
      <x:c r="R307" s="45" t="str">
        <x:f>IF(OR(J307="",Q307&lt;&gt;""),"",COUNTIF($J$5:J307,J307))</x:f>
      </x:c>
      <x:c r="U307" s="45" t="str">
        <x:f>IF(OR(J307="",Q307&lt;&gt;""),"",J307*10+R307)</x:f>
      </x:c>
    </x:row>
    <x:row r="308">
      <x:c r="R308" s="45" t="str">
        <x:f>IF(OR(J308="",Q308&lt;&gt;""),"",COUNTIF($J$5:J308,J308))</x:f>
      </x:c>
      <x:c r="U308" s="45" t="str">
        <x:f>IF(OR(J308="",Q308&lt;&gt;""),"",J308*10+R308)</x:f>
      </x:c>
    </x:row>
    <x:row r="309">
      <x:c r="R309" s="45" t="str">
        <x:f>IF(OR(J309="",Q309&lt;&gt;""),"",COUNTIF($J$5:J309,J309))</x:f>
      </x:c>
      <x:c r="U309" s="45" t="str">
        <x:f>IF(OR(J309="",Q309&lt;&gt;""),"",J309*10+R309)</x:f>
      </x:c>
    </x:row>
    <x:row r="310">
      <x:c r="R310" s="45" t="str">
        <x:f>IF(OR(J310="",Q310&lt;&gt;""),"",COUNTIF($J$5:J310,J310))</x:f>
      </x:c>
      <x:c r="U310" s="45" t="str">
        <x:f>IF(OR(J310="",Q310&lt;&gt;""),"",J310*10+R310)</x:f>
      </x:c>
    </x:row>
    <x:row r="311">
      <x:c r="R311" s="45" t="str">
        <x:f>IF(OR(J311="",Q311&lt;&gt;""),"",COUNTIF($J$5:J311,J311))</x:f>
      </x:c>
      <x:c r="U311" s="45" t="str">
        <x:f>IF(OR(J311="",Q311&lt;&gt;""),"",J311*10+R311)</x:f>
      </x:c>
    </x:row>
    <x:row r="312">
      <x:c r="R312" s="45" t="str">
        <x:f>IF(OR(J312="",Q312&lt;&gt;""),"",COUNTIF($J$5:J312,J312))</x:f>
      </x:c>
      <x:c r="U312" s="45" t="str">
        <x:f>IF(OR(J312="",Q312&lt;&gt;""),"",J312*10+R312)</x:f>
      </x:c>
    </x:row>
    <x:row r="313">
      <x:c r="R313" s="45" t="str">
        <x:f>IF(OR(J313="",Q313&lt;&gt;""),"",COUNTIF($J$5:J313,J313))</x:f>
      </x:c>
      <x:c r="U313" s="45" t="str">
        <x:f>IF(OR(J313="",Q313&lt;&gt;""),"",J313*10+R313)</x:f>
      </x:c>
    </x:row>
    <x:row r="314">
      <x:c r="R314" s="45" t="str">
        <x:f>IF(OR(J314="",Q314&lt;&gt;""),"",COUNTIF($J$5:J314,J314))</x:f>
      </x:c>
      <x:c r="U314" s="45" t="str">
        <x:f>IF(OR(J314="",Q314&lt;&gt;""),"",J314*10+R314)</x:f>
      </x:c>
    </x:row>
    <x:row r="315">
      <x:c r="R315" s="45" t="str">
        <x:f>IF(OR(J315="",Q315&lt;&gt;""),"",COUNTIF($J$5:J315,J315))</x:f>
      </x:c>
      <x:c r="U315" s="45" t="str">
        <x:f>IF(OR(J315="",Q315&lt;&gt;""),"",J315*10+R315)</x:f>
      </x:c>
    </x:row>
    <x:row r="316">
      <x:c r="R316" s="45" t="str">
        <x:f>IF(OR(J316="",Q316&lt;&gt;""),"",COUNTIF($J$5:J316,J316))</x:f>
      </x:c>
      <x:c r="U316" s="45" t="str">
        <x:f>IF(OR(J316="",Q316&lt;&gt;""),"",J316*10+R316)</x:f>
      </x:c>
    </x:row>
    <x:row r="317">
      <x:c r="R317" s="45" t="str">
        <x:f>IF(OR(J317="",Q317&lt;&gt;""),"",COUNTIF($J$5:J317,J317))</x:f>
      </x:c>
      <x:c r="U317" s="45" t="str">
        <x:f>IF(OR(J317="",Q317&lt;&gt;""),"",J317*10+R317)</x:f>
      </x:c>
    </x:row>
    <x:row r="318">
      <x:c r="R318" s="45" t="str">
        <x:f>IF(OR(J318="",Q318&lt;&gt;""),"",COUNTIF($J$5:J318,J318))</x:f>
      </x:c>
      <x:c r="U318" s="45" t="str">
        <x:f>IF(OR(J318="",Q318&lt;&gt;""),"",J318*10+R318)</x:f>
      </x:c>
    </x:row>
    <x:row r="319">
      <x:c r="R319" s="45" t="str">
        <x:f>IF(OR(J319="",Q319&lt;&gt;""),"",COUNTIF($J$5:J319,J319))</x:f>
      </x:c>
      <x:c r="U319" s="45" t="str">
        <x:f>IF(OR(J319="",Q319&lt;&gt;""),"",J319*10+R319)</x:f>
      </x:c>
    </x:row>
    <x:row r="320">
      <x:c r="R320" s="45" t="str">
        <x:f>IF(OR(J320="",Q320&lt;&gt;""),"",COUNTIF($J$5:J320,J320))</x:f>
      </x:c>
      <x:c r="U320" s="45" t="str">
        <x:f>IF(OR(J320="",Q320&lt;&gt;""),"",J320*10+R320)</x:f>
      </x:c>
    </x:row>
    <x:row r="321">
      <x:c r="R321" s="45" t="str">
        <x:f>IF(OR(J321="",Q321&lt;&gt;""),"",COUNTIF($J$5:J321,J321))</x:f>
      </x:c>
      <x:c r="U321" s="45" t="str">
        <x:f>IF(OR(J321="",Q321&lt;&gt;""),"",J321*10+R321)</x:f>
      </x:c>
    </x:row>
    <x:row r="322">
      <x:c r="R322" s="45" t="str">
        <x:f>IF(OR(J322="",Q322&lt;&gt;""),"",COUNTIF($J$5:J322,J322))</x:f>
      </x:c>
      <x:c r="U322" s="45" t="str">
        <x:f>IF(OR(J322="",Q322&lt;&gt;""),"",J322*10+R322)</x:f>
      </x:c>
    </x:row>
    <x:row r="323">
      <x:c r="R323" s="45" t="str">
        <x:f>IF(OR(J323="",Q323&lt;&gt;""),"",COUNTIF($J$5:J323,J323))</x:f>
      </x:c>
      <x:c r="U323" s="45" t="str">
        <x:f>IF(OR(J323="",Q323&lt;&gt;""),"",J323*10+R323)</x:f>
      </x:c>
    </x:row>
    <x:row r="324">
      <x:c r="R324" s="45" t="str">
        <x:f>IF(OR(J324="",Q324&lt;&gt;""),"",COUNTIF($J$5:J324,J324))</x:f>
      </x:c>
      <x:c r="U324" s="45" t="str">
        <x:f>IF(OR(J324="",Q324&lt;&gt;""),"",J324*10+R324)</x:f>
      </x:c>
    </x:row>
    <x:row r="325">
      <x:c r="R325" s="45" t="str">
        <x:f>IF(OR(J325="",Q325&lt;&gt;""),"",COUNTIF($J$5:J325,J325))</x:f>
      </x:c>
      <x:c r="U325" s="45" t="str">
        <x:f>IF(OR(J325="",Q325&lt;&gt;""),"",J325*10+R325)</x:f>
      </x:c>
    </x:row>
    <x:row r="326">
      <x:c r="R326" s="45" t="str">
        <x:f>IF(OR(J326="",Q326&lt;&gt;""),"",COUNTIF($J$5:J326,J326))</x:f>
      </x:c>
      <x:c r="U326" s="45" t="str">
        <x:f>IF(OR(J326="",Q326&lt;&gt;""),"",J326*10+R326)</x:f>
      </x:c>
    </x:row>
    <x:row r="327">
      <x:c r="R327" s="45" t="str">
        <x:f>IF(OR(J327="",Q327&lt;&gt;""),"",COUNTIF($J$5:J327,J327))</x:f>
      </x:c>
      <x:c r="U327" s="45" t="str">
        <x:f>IF(OR(J327="",Q327&lt;&gt;""),"",J327*10+R327)</x:f>
      </x:c>
    </x:row>
    <x:row r="328">
      <x:c r="R328" s="45" t="str">
        <x:f>IF(OR(J328="",Q328&lt;&gt;""),"",COUNTIF($J$5:J328,J328))</x:f>
      </x:c>
      <x:c r="U328" s="45" t="str">
        <x:f>IF(OR(J328="",Q328&lt;&gt;""),"",J328*10+R328)</x:f>
      </x:c>
    </x:row>
    <x:row r="329">
      <x:c r="R329" s="45" t="str">
        <x:f>IF(OR(J329="",Q329&lt;&gt;""),"",COUNTIF($J$5:J329,J329))</x:f>
      </x:c>
      <x:c r="U329" s="45" t="str">
        <x:f>IF(OR(J329="",Q329&lt;&gt;""),"",J329*10+R329)</x:f>
      </x:c>
    </x:row>
    <x:row r="330">
      <x:c r="R330" s="45" t="str">
        <x:f>IF(OR(J330="",Q330&lt;&gt;""),"",COUNTIF($J$5:J330,J330))</x:f>
      </x:c>
      <x:c r="U330" s="45" t="str">
        <x:f>IF(OR(J330="",Q330&lt;&gt;""),"",J330*10+R330)</x:f>
      </x:c>
    </x:row>
    <x:row r="331">
      <x:c r="R331" s="45" t="str">
        <x:f>IF(OR(J331="",Q331&lt;&gt;""),"",COUNTIF($J$5:J331,J331))</x:f>
      </x:c>
      <x:c r="U331" s="45" t="str">
        <x:f>IF(OR(J331="",Q331&lt;&gt;""),"",J331*10+R331)</x:f>
      </x:c>
    </x:row>
    <x:row r="332">
      <x:c r="R332" s="45" t="str">
        <x:f>IF(OR(J332="",Q332&lt;&gt;""),"",COUNTIF($J$5:J332,J332))</x:f>
      </x:c>
      <x:c r="U332" s="45" t="str">
        <x:f>IF(OR(J332="",Q332&lt;&gt;""),"",J332*10+R332)</x:f>
      </x:c>
    </x:row>
    <x:row r="333">
      <x:c r="R333" s="45" t="str">
        <x:f>IF(OR(J333="",Q333&lt;&gt;""),"",COUNTIF($J$5:J333,J333))</x:f>
      </x:c>
      <x:c r="U333" s="45" t="str">
        <x:f>IF(OR(J333="",Q333&lt;&gt;""),"",J333*10+R333)</x:f>
      </x:c>
    </x:row>
    <x:row r="334">
      <x:c r="R334" s="45" t="str">
        <x:f>IF(OR(J334="",Q334&lt;&gt;""),"",COUNTIF($J$5:J334,J334))</x:f>
      </x:c>
      <x:c r="U334" s="45" t="str">
        <x:f>IF(OR(J334="",Q334&lt;&gt;""),"",J334*10+R334)</x:f>
      </x:c>
    </x:row>
    <x:row r="335">
      <x:c r="R335" s="45" t="str">
        <x:f>IF(OR(J335="",Q335&lt;&gt;""),"",COUNTIF($J$5:J335,J335))</x:f>
      </x:c>
      <x:c r="U335" s="45" t="str">
        <x:f>IF(OR(J335="",Q335&lt;&gt;""),"",J335*10+R335)</x:f>
      </x:c>
    </x:row>
    <x:row r="336">
      <x:c r="R336" s="45" t="str">
        <x:f>IF(OR(J336="",Q336&lt;&gt;""),"",COUNTIF($J$5:J336,J336))</x:f>
      </x:c>
      <x:c r="U336" s="45" t="str">
        <x:f>IF(OR(J336="",Q336&lt;&gt;""),"",J336*10+R336)</x:f>
      </x:c>
    </x:row>
    <x:row r="337">
      <x:c r="R337" s="45" t="str">
        <x:f>IF(OR(J337="",Q337&lt;&gt;""),"",COUNTIF($J$5:J337,J337))</x:f>
      </x:c>
      <x:c r="U337" s="45" t="str">
        <x:f>IF(OR(J337="",Q337&lt;&gt;""),"",J337*10+R337)</x:f>
      </x:c>
    </x:row>
    <x:row r="338">
      <x:c r="R338" s="45" t="str">
        <x:f>IF(OR(J338="",Q338&lt;&gt;""),"",COUNTIF($J$5:J338,J338))</x:f>
      </x:c>
      <x:c r="U338" s="45" t="str">
        <x:f>IF(OR(J338="",Q338&lt;&gt;""),"",J338*10+R338)</x:f>
      </x:c>
    </x:row>
    <x:row r="339">
      <x:c r="R339" s="45" t="str">
        <x:f>IF(OR(J339="",Q339&lt;&gt;""),"",COUNTIF($J$5:J339,J339))</x:f>
      </x:c>
      <x:c r="U339" s="45" t="str">
        <x:f>IF(OR(J339="",Q339&lt;&gt;""),"",J339*10+R339)</x:f>
      </x:c>
    </x:row>
    <x:row r="340">
      <x:c r="R340" s="45" t="str">
        <x:f>IF(OR(J340="",Q340&lt;&gt;""),"",COUNTIF($J$5:J340,J340))</x:f>
      </x:c>
      <x:c r="U340" s="45" t="str">
        <x:f>IF(OR(J340="",Q340&lt;&gt;""),"",J340*10+R340)</x:f>
      </x:c>
    </x:row>
    <x:row r="341">
      <x:c r="R341" s="45" t="str">
        <x:f>IF(OR(J341="",Q341&lt;&gt;""),"",COUNTIF($J$5:J341,J341))</x:f>
      </x:c>
      <x:c r="U341" s="45" t="str">
        <x:f>IF(OR(J341="",Q341&lt;&gt;""),"",J341*10+R341)</x:f>
      </x:c>
    </x:row>
    <x:row r="342">
      <x:c r="R342" s="45" t="str">
        <x:f>IF(OR(J342="",Q342&lt;&gt;""),"",COUNTIF($J$5:J342,J342))</x:f>
      </x:c>
      <x:c r="U342" s="45" t="str">
        <x:f>IF(OR(J342="",Q342&lt;&gt;""),"",J342*10+R342)</x:f>
      </x:c>
    </x:row>
    <x:row r="343">
      <x:c r="R343" s="45" t="str">
        <x:f>IF(OR(J343="",Q343&lt;&gt;""),"",COUNTIF($J$5:J343,J343))</x:f>
      </x:c>
      <x:c r="U343" s="45" t="str">
        <x:f>IF(OR(J343="",Q343&lt;&gt;""),"",J343*10+R343)</x:f>
      </x:c>
    </x:row>
    <x:row r="344">
      <x:c r="R344" s="45" t="str">
        <x:f>IF(OR(J344="",Q344&lt;&gt;""),"",COUNTIF($J$5:J344,J344))</x:f>
      </x:c>
      <x:c r="U344" s="45" t="str">
        <x:f>IF(OR(J344="",Q344&lt;&gt;""),"",J344*10+R344)</x:f>
      </x:c>
    </x:row>
    <x:row r="345">
      <x:c r="R345" s="45" t="str">
        <x:f>IF(OR(J345="",Q345&lt;&gt;""),"",COUNTIF($J$5:J345,J345))</x:f>
      </x:c>
      <x:c r="U345" s="45" t="str">
        <x:f>IF(OR(J345="",Q345&lt;&gt;""),"",J345*10+R345)</x:f>
      </x:c>
    </x:row>
    <x:row r="346">
      <x:c r="R346" s="45" t="str">
        <x:f>IF(OR(J346="",Q346&lt;&gt;""),"",COUNTIF($J$5:J346,J346))</x:f>
      </x:c>
      <x:c r="U346" s="45" t="str">
        <x:f>IF(OR(J346="",Q346&lt;&gt;""),"",J346*10+R346)</x:f>
      </x:c>
    </x:row>
    <x:row r="347">
      <x:c r="R347" s="45" t="str">
        <x:f>IF(OR(J347="",Q347&lt;&gt;""),"",COUNTIF($J$5:J347,J347))</x:f>
      </x:c>
      <x:c r="U347" s="45" t="str">
        <x:f>IF(OR(J347="",Q347&lt;&gt;""),"",J347*10+R347)</x:f>
      </x:c>
    </x:row>
    <x:row r="348">
      <x:c r="R348" s="45" t="str">
        <x:f>IF(OR(J348="",Q348&lt;&gt;""),"",COUNTIF($J$5:J348,J348))</x:f>
      </x:c>
      <x:c r="U348" s="45" t="str">
        <x:f>IF(OR(J348="",Q348&lt;&gt;""),"",J348*10+R348)</x:f>
      </x:c>
    </x:row>
    <x:row r="349">
      <x:c r="R349" s="45" t="str">
        <x:f>IF(OR(J349="",Q349&lt;&gt;""),"",COUNTIF($J$5:J349,J349))</x:f>
      </x:c>
      <x:c r="U349" s="45" t="str">
        <x:f>IF(OR(J349="",Q349&lt;&gt;""),"",J349*10+R349)</x:f>
      </x:c>
    </x:row>
    <x:row r="350">
      <x:c r="R350" s="45" t="str">
        <x:f>IF(OR(J350="",Q350&lt;&gt;""),"",COUNTIF($J$5:J350,J350))</x:f>
      </x:c>
      <x:c r="U350" s="45" t="str">
        <x:f>IF(OR(J350="",Q350&lt;&gt;""),"",J350*10+R350)</x:f>
      </x:c>
    </x:row>
    <x:row r="351">
      <x:c r="R351" s="45" t="str">
        <x:f>IF(OR(J351="",Q351&lt;&gt;""),"",COUNTIF($J$5:J351,J351))</x:f>
      </x:c>
      <x:c r="U351" s="45" t="str">
        <x:f>IF(OR(J351="",Q351&lt;&gt;""),"",J351*10+R351)</x:f>
      </x:c>
    </x:row>
    <x:row r="352">
      <x:c r="R352" s="45" t="str">
        <x:f>IF(OR(J352="",Q352&lt;&gt;""),"",COUNTIF($J$5:J352,J352))</x:f>
      </x:c>
      <x:c r="U352" s="45" t="str">
        <x:f>IF(OR(J352="",Q352&lt;&gt;""),"",J352*10+R352)</x:f>
      </x:c>
    </x:row>
    <x:row r="353">
      <x:c r="R353" s="45" t="str">
        <x:f>IF(OR(J353="",Q353&lt;&gt;""),"",COUNTIF($J$5:J353,J353))</x:f>
      </x:c>
      <x:c r="U353" s="45" t="str">
        <x:f>IF(OR(J353="",Q353&lt;&gt;""),"",J353*10+R353)</x:f>
      </x:c>
    </x:row>
    <x:row r="354">
      <x:c r="R354" s="45" t="str">
        <x:f>IF(OR(J354="",Q354&lt;&gt;""),"",COUNTIF($J$5:J354,J354))</x:f>
      </x:c>
      <x:c r="U354" s="45" t="str">
        <x:f>IF(OR(J354="",Q354&lt;&gt;""),"",J354*10+R354)</x:f>
      </x:c>
    </x:row>
    <x:row r="355">
      <x:c r="R355" s="45" t="str">
        <x:f>IF(OR(J355="",Q355&lt;&gt;""),"",COUNTIF($J$5:J355,J355))</x:f>
      </x:c>
      <x:c r="U355" s="45" t="str">
        <x:f>IF(OR(J355="",Q355&lt;&gt;""),"",J355*10+R355)</x:f>
      </x:c>
    </x:row>
    <x:row r="356">
      <x:c r="R356" s="45" t="str">
        <x:f>IF(OR(J356="",Q356&lt;&gt;""),"",COUNTIF($J$5:J356,J356))</x:f>
      </x:c>
      <x:c r="U356" s="45" t="str">
        <x:f>IF(OR(J356="",Q356&lt;&gt;""),"",J356*10+R356)</x:f>
      </x:c>
    </x:row>
    <x:row r="357">
      <x:c r="R357" s="45" t="str">
        <x:f>IF(OR(J357="",Q357&lt;&gt;""),"",COUNTIF($J$5:J357,J357))</x:f>
      </x:c>
      <x:c r="U357" s="45" t="str">
        <x:f>IF(OR(J357="",Q357&lt;&gt;""),"",J357*10+R357)</x:f>
      </x:c>
    </x:row>
    <x:row r="358">
      <x:c r="R358" s="45" t="str">
        <x:f>IF(OR(J358="",Q358&lt;&gt;""),"",COUNTIF($J$5:J358,J358))</x:f>
      </x:c>
      <x:c r="U358" s="45" t="str">
        <x:f>IF(OR(J358="",Q358&lt;&gt;""),"",J358*10+R358)</x:f>
      </x:c>
    </x:row>
    <x:row r="359">
      <x:c r="R359" s="45" t="str">
        <x:f>IF(OR(J359="",Q359&lt;&gt;""),"",COUNTIF($J$5:J359,J359))</x:f>
      </x:c>
      <x:c r="U359" s="45" t="str">
        <x:f>IF(OR(J359="",Q359&lt;&gt;""),"",J359*10+R359)</x:f>
      </x:c>
    </x:row>
    <x:row r="360">
      <x:c r="R360" s="45" t="str">
        <x:f>IF(OR(J360="",Q360&lt;&gt;""),"",COUNTIF($J$5:J360,J360))</x:f>
      </x:c>
      <x:c r="U360" s="45" t="str">
        <x:f>IF(OR(J360="",Q360&lt;&gt;""),"",J360*10+R360)</x:f>
      </x:c>
    </x:row>
    <x:row r="361">
      <x:c r="R361" s="45" t="str">
        <x:f>IF(OR(J361="",Q361&lt;&gt;""),"",COUNTIF($J$5:J361,J361))</x:f>
      </x:c>
      <x:c r="U361" s="45" t="str">
        <x:f>IF(OR(J361="",Q361&lt;&gt;""),"",J361*10+R361)</x:f>
      </x:c>
    </x:row>
    <x:row r="362">
      <x:c r="R362" s="45" t="str">
        <x:f>IF(OR(J362="",Q362&lt;&gt;""),"",COUNTIF($J$5:J362,J362))</x:f>
      </x:c>
      <x:c r="U362" s="45" t="str">
        <x:f>IF(OR(J362="",Q362&lt;&gt;""),"",J362*10+R362)</x:f>
      </x:c>
    </x:row>
    <x:row r="363">
      <x:c r="R363" s="45" t="str">
        <x:f>IF(OR(J363="",Q363&lt;&gt;""),"",COUNTIF($J$5:J363,J363))</x:f>
      </x:c>
      <x:c r="U363" s="45" t="str">
        <x:f>IF(OR(J363="",Q363&lt;&gt;""),"",J363*10+R363)</x:f>
      </x:c>
    </x:row>
    <x:row r="364">
      <x:c r="R364" s="45" t="str">
        <x:f>IF(OR(J364="",Q364&lt;&gt;""),"",COUNTIF($J$5:J364,J364))</x:f>
      </x:c>
      <x:c r="U364" s="45" t="str">
        <x:f>IF(OR(J364="",Q364&lt;&gt;""),"",J364*10+R364)</x:f>
      </x:c>
    </x:row>
    <x:row r="365">
      <x:c r="R365" s="45" t="str">
        <x:f>IF(OR(J365="",Q365&lt;&gt;""),"",COUNTIF($J$5:J365,J365))</x:f>
      </x:c>
      <x:c r="U365" s="45" t="str">
        <x:f>IF(OR(J365="",Q365&lt;&gt;""),"",J365*10+R365)</x:f>
      </x:c>
    </x:row>
    <x:row r="366">
      <x:c r="R366" s="45" t="str">
        <x:f>IF(OR(J366="",Q366&lt;&gt;""),"",COUNTIF($J$5:J366,J366))</x:f>
      </x:c>
      <x:c r="U366" s="45" t="str">
        <x:f>IF(OR(J366="",Q366&lt;&gt;""),"",J366*10+R366)</x:f>
      </x:c>
    </x:row>
    <x:row r="367">
      <x:c r="R367" s="45" t="str">
        <x:f>IF(OR(J367="",Q367&lt;&gt;""),"",COUNTIF($J$5:J367,J367))</x:f>
      </x:c>
      <x:c r="U367" s="45" t="str">
        <x:f>IF(OR(J367="",Q367&lt;&gt;""),"",J367*10+R367)</x:f>
      </x:c>
    </x:row>
    <x:row r="368">
      <x:c r="R368" s="45" t="str">
        <x:f>IF(OR(J368="",Q368&lt;&gt;""),"",COUNTIF($J$5:J368,J368))</x:f>
      </x:c>
      <x:c r="U368" s="45" t="str">
        <x:f>IF(OR(J368="",Q368&lt;&gt;""),"",J368*10+R368)</x:f>
      </x:c>
    </x:row>
    <x:row r="369">
      <x:c r="R369" s="45" t="str">
        <x:f>IF(OR(J369="",Q369&lt;&gt;""),"",COUNTIF($J$5:J369,J369))</x:f>
      </x:c>
      <x:c r="U369" s="45" t="str">
        <x:f>IF(OR(J369="",Q369&lt;&gt;""),"",J369*10+R369)</x:f>
      </x:c>
    </x:row>
    <x:row r="370">
      <x:c r="R370" s="45" t="str">
        <x:f>IF(OR(J370="",Q370&lt;&gt;""),"",COUNTIF($J$5:J370,J370))</x:f>
      </x:c>
      <x:c r="U370" s="45" t="str">
        <x:f>IF(OR(J370="",Q370&lt;&gt;""),"",J370*10+R370)</x:f>
      </x:c>
    </x:row>
    <x:row r="371">
      <x:c r="R371" s="45" t="str">
        <x:f>IF(OR(J371="",Q371&lt;&gt;""),"",COUNTIF($J$5:J371,J371))</x:f>
      </x:c>
      <x:c r="U371" s="45" t="str">
        <x:f>IF(OR(J371="",Q371&lt;&gt;""),"",J371*10+R371)</x:f>
      </x:c>
    </x:row>
    <x:row r="372">
      <x:c r="R372" s="45" t="str">
        <x:f>IF(OR(J372="",Q372&lt;&gt;""),"",COUNTIF($J$5:J372,J372))</x:f>
      </x:c>
      <x:c r="U372" s="45" t="str">
        <x:f>IF(OR(J372="",Q372&lt;&gt;""),"",J372*10+R372)</x:f>
      </x:c>
    </x:row>
    <x:row r="373">
      <x:c r="R373" s="45" t="str">
        <x:f>IF(OR(J373="",Q373&lt;&gt;""),"",COUNTIF($J$5:J373,J373))</x:f>
      </x:c>
      <x:c r="U373" s="45" t="str">
        <x:f>IF(OR(J373="",Q373&lt;&gt;""),"",J373*10+R373)</x:f>
      </x:c>
    </x:row>
    <x:row r="374">
      <x:c r="R374" s="45" t="str">
        <x:f>IF(OR(J374="",Q374&lt;&gt;""),"",COUNTIF($J$5:J374,J374))</x:f>
      </x:c>
      <x:c r="U374" s="45" t="str">
        <x:f>IF(OR(J374="",Q374&lt;&gt;""),"",J374*10+R374)</x:f>
      </x:c>
    </x:row>
    <x:row r="375">
      <x:c r="R375" s="45" t="str">
        <x:f>IF(OR(J375="",Q375&lt;&gt;""),"",COUNTIF($J$5:J375,J375))</x:f>
      </x:c>
      <x:c r="U375" s="45" t="str">
        <x:f>IF(OR(J375="",Q375&lt;&gt;""),"",J375*10+R375)</x:f>
      </x:c>
    </x:row>
    <x:row r="376">
      <x:c r="R376" s="45" t="str">
        <x:f>IF(OR(J376="",Q376&lt;&gt;""),"",COUNTIF($J$5:J376,J376))</x:f>
      </x:c>
      <x:c r="U376" s="45" t="str">
        <x:f>IF(OR(J376="",Q376&lt;&gt;""),"",J376*10+R376)</x:f>
      </x:c>
    </x:row>
    <x:row r="377">
      <x:c r="R377" s="45" t="str">
        <x:f>IF(OR(J377="",Q377&lt;&gt;""),"",COUNTIF($J$5:J377,J377))</x:f>
      </x:c>
      <x:c r="U377" s="45" t="str">
        <x:f>IF(OR(J377="",Q377&lt;&gt;""),"",J377*10+R377)</x:f>
      </x:c>
    </x:row>
    <x:row r="378">
      <x:c r="R378" s="45" t="str">
        <x:f>IF(OR(J378="",Q378&lt;&gt;""),"",COUNTIF($J$5:J378,J378))</x:f>
      </x:c>
      <x:c r="U378" s="45" t="str">
        <x:f>IF(OR(J378="",Q378&lt;&gt;""),"",J378*10+R378)</x:f>
      </x:c>
    </x:row>
    <x:row r="379">
      <x:c r="R379" s="45" t="str">
        <x:f>IF(OR(J379="",Q379&lt;&gt;""),"",COUNTIF($J$5:J379,J379))</x:f>
      </x:c>
      <x:c r="U379" s="45" t="str">
        <x:f>IF(OR(J379="",Q379&lt;&gt;""),"",J379*10+R379)</x:f>
      </x:c>
    </x:row>
    <x:row r="380">
      <x:c r="R380" s="45" t="str">
        <x:f>IF(OR(J380="",Q380&lt;&gt;""),"",COUNTIF($J$5:J380,J380))</x:f>
      </x:c>
      <x:c r="U380" s="45" t="str">
        <x:f>IF(OR(J380="",Q380&lt;&gt;""),"",J380*10+R380)</x:f>
      </x:c>
    </x:row>
    <x:row r="381">
      <x:c r="R381" s="45" t="str">
        <x:f>IF(OR(J381="",Q381&lt;&gt;""),"",COUNTIF($J$5:J381,J381))</x:f>
      </x:c>
      <x:c r="U381" s="45" t="str">
        <x:f>IF(OR(J381="",Q381&lt;&gt;""),"",J381*10+R381)</x:f>
      </x:c>
    </x:row>
    <x:row r="382">
      <x:c r="R382" s="45" t="str">
        <x:f>IF(OR(J382="",Q382&lt;&gt;""),"",COUNTIF($J$5:J382,J382))</x:f>
      </x:c>
      <x:c r="U382" s="45" t="str">
        <x:f>IF(OR(J382="",Q382&lt;&gt;""),"",J382*10+R382)</x:f>
      </x:c>
    </x:row>
    <x:row r="383">
      <x:c r="R383" s="45" t="str">
        <x:f>IF(OR(J383="",Q383&lt;&gt;""),"",COUNTIF($J$5:J383,J383))</x:f>
      </x:c>
      <x:c r="U383" s="45" t="str">
        <x:f>IF(OR(J383="",Q383&lt;&gt;""),"",J383*10+R383)</x:f>
      </x:c>
    </x:row>
    <x:row r="384">
      <x:c r="R384" s="45" t="str">
        <x:f>IF(OR(J384="",Q384&lt;&gt;""),"",COUNTIF($J$5:J384,J384))</x:f>
      </x:c>
      <x:c r="U384" s="45" t="str">
        <x:f>IF(OR(J384="",Q384&lt;&gt;""),"",J384*10+R384)</x:f>
      </x:c>
    </x:row>
    <x:row r="385">
      <x:c r="R385" s="45" t="str">
        <x:f>IF(OR(J385="",Q385&lt;&gt;""),"",COUNTIF($J$5:J385,J385))</x:f>
      </x:c>
      <x:c r="U385" s="45" t="str">
        <x:f>IF(OR(J385="",Q385&lt;&gt;""),"",J385*10+R385)</x:f>
      </x:c>
    </x:row>
    <x:row r="386">
      <x:c r="R386" s="45" t="str">
        <x:f>IF(OR(J386="",Q386&lt;&gt;""),"",COUNTIF($J$5:J386,J386))</x:f>
      </x:c>
      <x:c r="U386" s="45" t="str">
        <x:f>IF(OR(J386="",Q386&lt;&gt;""),"",J386*10+R386)</x:f>
      </x:c>
    </x:row>
    <x:row r="387">
      <x:c r="R387" s="45" t="str">
        <x:f>IF(OR(J387="",Q387&lt;&gt;""),"",COUNTIF($J$5:J387,J387))</x:f>
      </x:c>
      <x:c r="U387" s="45" t="str">
        <x:f>IF(OR(J387="",Q387&lt;&gt;""),"",J387*10+R387)</x:f>
      </x:c>
    </x:row>
    <x:row r="388">
      <x:c r="R388" s="45" t="str">
        <x:f>IF(OR(J388="",Q388&lt;&gt;""),"",COUNTIF($J$5:J388,J388))</x:f>
      </x:c>
      <x:c r="U388" s="45" t="str">
        <x:f>IF(OR(J388="",Q388&lt;&gt;""),"",J388*10+R388)</x:f>
      </x:c>
    </x:row>
    <x:row r="389">
      <x:c r="R389" s="45" t="str">
        <x:f>IF(OR(J389="",Q389&lt;&gt;""),"",COUNTIF($J$5:J389,J389))</x:f>
      </x:c>
      <x:c r="U389" s="45" t="str">
        <x:f>IF(OR(J389="",Q389&lt;&gt;""),"",J389*10+R389)</x:f>
      </x:c>
    </x:row>
    <x:row r="390">
      <x:c r="R390" s="45" t="str">
        <x:f>IF(OR(J390="",Q390&lt;&gt;""),"",COUNTIF($J$5:J390,J390))</x:f>
      </x:c>
      <x:c r="U390" s="45" t="str">
        <x:f>IF(OR(J390="",Q390&lt;&gt;""),"",J390*10+R390)</x:f>
      </x:c>
    </x:row>
    <x:row r="391">
      <x:c r="R391" s="45" t="str">
        <x:f>IF(OR(J391="",Q391&lt;&gt;""),"",COUNTIF($J$5:J391,J391))</x:f>
      </x:c>
      <x:c r="U391" s="45" t="str">
        <x:f>IF(OR(J391="",Q391&lt;&gt;""),"",J391*10+R391)</x:f>
      </x:c>
    </x:row>
    <x:row r="392">
      <x:c r="R392" s="45" t="str">
        <x:f>IF(OR(J392="",Q392&lt;&gt;""),"",COUNTIF($J$5:J392,J392))</x:f>
      </x:c>
      <x:c r="U392" s="45" t="str">
        <x:f>IF(OR(J392="",Q392&lt;&gt;""),"",J392*10+R392)</x:f>
      </x:c>
    </x:row>
    <x:row r="393">
      <x:c r="R393" s="45" t="str">
        <x:f>IF(OR(J393="",Q393&lt;&gt;""),"",COUNTIF($J$5:J393,J393))</x:f>
      </x:c>
      <x:c r="U393" s="45" t="str">
        <x:f>IF(OR(J393="",Q393&lt;&gt;""),"",J393*10+R393)</x:f>
      </x:c>
    </x:row>
    <x:row r="394">
      <x:c r="R394" s="45" t="str">
        <x:f>IF(OR(J394="",Q394&lt;&gt;""),"",COUNTIF($J$5:J394,J394))</x:f>
      </x:c>
      <x:c r="U394" s="45" t="str">
        <x:f>IF(OR(J394="",Q394&lt;&gt;""),"",J394*10+R394)</x:f>
      </x:c>
    </x:row>
    <x:row r="395">
      <x:c r="R395" s="45" t="str">
        <x:f>IF(OR(J395="",Q395&lt;&gt;""),"",COUNTIF($J$5:J395,J395))</x:f>
      </x:c>
      <x:c r="U395" s="45" t="str">
        <x:f>IF(OR(J395="",Q395&lt;&gt;""),"",J395*10+R395)</x:f>
      </x:c>
    </x:row>
    <x:row r="396">
      <x:c r="R396" s="45" t="str">
        <x:f>IF(OR(J396="",Q396&lt;&gt;""),"",COUNTIF($J$5:J396,J396))</x:f>
      </x:c>
      <x:c r="U396" s="45" t="str">
        <x:f>IF(OR(J396="",Q396&lt;&gt;""),"",J396*10+R396)</x:f>
      </x:c>
    </x:row>
    <x:row r="397">
      <x:c r="R397" s="45" t="str">
        <x:f>IF(OR(J397="",Q397&lt;&gt;""),"",COUNTIF($J$5:J397,J397))</x:f>
      </x:c>
      <x:c r="U397" s="45" t="str">
        <x:f>IF(OR(J397="",Q397&lt;&gt;""),"",J397*10+R397)</x:f>
      </x:c>
    </x:row>
    <x:row r="398">
      <x:c r="R398" s="45" t="str">
        <x:f>IF(OR(J398="",Q398&lt;&gt;""),"",COUNTIF($J$5:J398,J398))</x:f>
      </x:c>
      <x:c r="U398" s="45" t="str">
        <x:f>IF(OR(J398="",Q398&lt;&gt;""),"",J398*10+R398)</x:f>
      </x:c>
    </x:row>
    <x:row r="399">
      <x:c r="R399" s="45" t="str">
        <x:f>IF(OR(J399="",Q399&lt;&gt;""),"",COUNTIF($J$5:J399,J399))</x:f>
      </x:c>
      <x:c r="U399" s="45" t="str">
        <x:f>IF(OR(J399="",Q399&lt;&gt;""),"",J399*10+R399)</x:f>
      </x:c>
    </x:row>
    <x:row r="400">
      <x:c r="R400" s="45" t="str">
        <x:f>IF(OR(J400="",Q400&lt;&gt;""),"",COUNTIF($J$5:J400,J400))</x:f>
      </x:c>
      <x:c r="U400" s="45" t="str">
        <x:f>IF(OR(J400="",Q400&lt;&gt;""),"",J400*10+R400)</x:f>
      </x:c>
    </x:row>
    <x:row r="401">
      <x:c r="R401" s="45" t="str">
        <x:f>IF(OR(J401="",Q401&lt;&gt;""),"",COUNTIF($J$5:J401,J401))</x:f>
      </x:c>
      <x:c r="U401" s="45" t="str">
        <x:f>IF(OR(J401="",Q401&lt;&gt;""),"",J401*10+R401)</x:f>
      </x:c>
    </x:row>
    <x:row r="402">
      <x:c r="R402" s="45" t="str">
        <x:f>IF(OR(J402="",Q402&lt;&gt;""),"",COUNTIF($J$5:J402,J402))</x:f>
      </x:c>
      <x:c r="U402" s="45" t="str">
        <x:f>IF(OR(J402="",Q402&lt;&gt;""),"",J402*10+R402)</x:f>
      </x:c>
    </x:row>
    <x:row r="403">
      <x:c r="R403" s="45" t="str">
        <x:f>IF(OR(J403="",Q403&lt;&gt;""),"",COUNTIF($J$5:J403,J403))</x:f>
      </x:c>
      <x:c r="U403" s="45" t="str">
        <x:f>IF(OR(J403="",Q403&lt;&gt;""),"",J403*10+R403)</x:f>
      </x:c>
    </x:row>
    <x:row r="404">
      <x:c r="R404" s="45" t="str">
        <x:f>IF(OR(J404="",Q404&lt;&gt;""),"",COUNTIF($J$5:J404,J404))</x:f>
      </x:c>
      <x:c r="U404" s="45" t="str">
        <x:f>IF(OR(J404="",Q404&lt;&gt;""),"",J404*10+R404)</x:f>
      </x:c>
    </x:row>
    <x:row r="405">
      <x:c r="R405" s="45" t="str">
        <x:f>IF(OR(J405="",Q405&lt;&gt;""),"",COUNTIF($J$5:J405,J405))</x:f>
      </x:c>
      <x:c r="U405" s="45" t="str">
        <x:f>IF(OR(J405="",Q405&lt;&gt;""),"",J405*10+R405)</x:f>
      </x:c>
    </x:row>
    <x:row r="406">
      <x:c r="R406" s="45" t="str">
        <x:f>IF(OR(J406="",Q406&lt;&gt;""),"",COUNTIF($J$5:J406,J406))</x:f>
      </x:c>
      <x:c r="U406" s="45" t="str">
        <x:f>IF(OR(J406="",Q406&lt;&gt;""),"",J406*10+R406)</x:f>
      </x:c>
    </x:row>
    <x:row r="407">
      <x:c r="R407" s="45" t="str">
        <x:f>IF(OR(J407="",Q407&lt;&gt;""),"",COUNTIF($J$5:J407,J407))</x:f>
      </x:c>
      <x:c r="U407" s="45" t="str">
        <x:f>IF(OR(J407="",Q407&lt;&gt;""),"",J407*10+R407)</x:f>
      </x:c>
    </x:row>
    <x:row r="408">
      <x:c r="R408" s="45" t="str">
        <x:f>IF(OR(J408="",Q408&lt;&gt;""),"",COUNTIF($J$5:J408,J408))</x:f>
      </x:c>
      <x:c r="U408" s="45" t="str">
        <x:f>IF(OR(J408="",Q408&lt;&gt;""),"",J408*10+R408)</x:f>
      </x:c>
    </x:row>
    <x:row r="409">
      <x:c r="R409" s="45" t="str">
        <x:f>IF(OR(J409="",Q409&lt;&gt;""),"",COUNTIF($J$5:J409,J409))</x:f>
      </x:c>
      <x:c r="U409" s="45" t="str">
        <x:f>IF(OR(J409="",Q409&lt;&gt;""),"",J409*10+R409)</x:f>
      </x:c>
    </x:row>
    <x:row r="410">
      <x:c r="R410" s="45" t="str">
        <x:f>IF(OR(J410="",Q410&lt;&gt;""),"",COUNTIF($J$5:J410,J410))</x:f>
      </x:c>
      <x:c r="U410" s="45" t="str">
        <x:f>IF(OR(J410="",Q410&lt;&gt;""),"",J410*10+R410)</x:f>
      </x:c>
    </x:row>
    <x:row r="411">
      <x:c r="R411" s="45" t="str">
        <x:f>IF(OR(J411="",Q411&lt;&gt;""),"",COUNTIF($J$5:J411,J411))</x:f>
      </x:c>
      <x:c r="U411" s="45" t="str">
        <x:f>IF(OR(J411="",Q411&lt;&gt;""),"",J411*10+R411)</x:f>
      </x:c>
    </x:row>
    <x:row r="412">
      <x:c r="R412" s="45" t="str">
        <x:f>IF(OR(J412="",Q412&lt;&gt;""),"",COUNTIF($J$5:J412,J412))</x:f>
      </x:c>
      <x:c r="U412" s="45" t="str">
        <x:f>IF(OR(J412="",Q412&lt;&gt;""),"",J412*10+R412)</x:f>
      </x:c>
    </x:row>
    <x:row r="413">
      <x:c r="R413" s="45" t="str">
        <x:f>IF(OR(J413="",Q413&lt;&gt;""),"",COUNTIF($J$5:J413,J413))</x:f>
      </x:c>
      <x:c r="U413" s="45" t="str">
        <x:f>IF(OR(J413="",Q413&lt;&gt;""),"",J413*10+R413)</x:f>
      </x:c>
    </x:row>
    <x:row r="414">
      <x:c r="R414" s="45" t="str">
        <x:f>IF(OR(J414="",Q414&lt;&gt;""),"",COUNTIF($J$5:J414,J414))</x:f>
      </x:c>
      <x:c r="U414" s="45" t="str">
        <x:f>IF(OR(J414="",Q414&lt;&gt;""),"",J414*10+R414)</x:f>
      </x:c>
    </x:row>
    <x:row r="415">
      <x:c r="R415" s="45" t="str">
        <x:f>IF(OR(J415="",Q415&lt;&gt;""),"",COUNTIF($J$5:J415,J415))</x:f>
      </x:c>
      <x:c r="U415" s="45" t="str">
        <x:f>IF(OR(J415="",Q415&lt;&gt;""),"",J415*10+R415)</x:f>
      </x:c>
    </x:row>
    <x:row r="416">
      <x:c r="R416" s="45" t="str">
        <x:f>IF(OR(J416="",Q416&lt;&gt;""),"",COUNTIF($J$5:J416,J416))</x:f>
      </x:c>
      <x:c r="U416" s="45" t="str">
        <x:f>IF(OR(J416="",Q416&lt;&gt;""),"",J416*10+R416)</x:f>
      </x:c>
    </x:row>
    <x:row r="417">
      <x:c r="R417" s="45" t="str">
        <x:f>IF(OR(J417="",Q417&lt;&gt;""),"",COUNTIF($J$5:J417,J417))</x:f>
      </x:c>
      <x:c r="U417" s="45" t="str">
        <x:f>IF(OR(J417="",Q417&lt;&gt;""),"",J417*10+R417)</x:f>
      </x:c>
    </x:row>
    <x:row r="418">
      <x:c r="R418" s="45" t="str">
        <x:f>IF(OR(J418="",Q418&lt;&gt;""),"",COUNTIF($J$5:J418,J418))</x:f>
      </x:c>
      <x:c r="U418" s="45" t="str">
        <x:f>IF(OR(J418="",Q418&lt;&gt;""),"",J418*10+R418)</x:f>
      </x:c>
    </x:row>
    <x:row r="419">
      <x:c r="R419" s="45" t="str">
        <x:f>IF(OR(J419="",Q419&lt;&gt;""),"",COUNTIF($J$5:J419,J419))</x:f>
      </x:c>
      <x:c r="U419" s="45" t="str">
        <x:f>IF(OR(J419="",Q419&lt;&gt;""),"",J419*10+R419)</x:f>
      </x:c>
    </x:row>
    <x:row r="420">
      <x:c r="R420" s="45" t="str">
        <x:f>IF(OR(J420="",Q420&lt;&gt;""),"",COUNTIF($J$5:J420,J420))</x:f>
      </x:c>
      <x:c r="U420" s="45" t="str">
        <x:f>IF(OR(J420="",Q420&lt;&gt;""),"",J420*10+R420)</x:f>
      </x:c>
    </x:row>
    <x:row r="421">
      <x:c r="R421" s="45" t="str">
        <x:f>IF(OR(J421="",Q421&lt;&gt;""),"",COUNTIF($J$5:J421,J421))</x:f>
      </x:c>
      <x:c r="U421" s="45" t="str">
        <x:f>IF(OR(J421="",Q421&lt;&gt;""),"",J421*10+R421)</x:f>
      </x:c>
    </x:row>
    <x:row r="422">
      <x:c r="R422" s="45" t="str">
        <x:f>IF(OR(J422="",Q422&lt;&gt;""),"",COUNTIF($J$5:J422,J422))</x:f>
      </x:c>
      <x:c r="U422" s="45" t="str">
        <x:f>IF(OR(J422="",Q422&lt;&gt;""),"",J422*10+R422)</x:f>
      </x:c>
    </x:row>
    <x:row r="423">
      <x:c r="R423" s="45" t="str">
        <x:f>IF(OR(J423="",Q423&lt;&gt;""),"",COUNTIF($J$5:J423,J423))</x:f>
      </x:c>
      <x:c r="U423" s="45" t="str">
        <x:f>IF(OR(J423="",Q423&lt;&gt;""),"",J423*10+R423)</x:f>
      </x:c>
    </x:row>
    <x:row r="424">
      <x:c r="R424" s="45" t="str">
        <x:f>IF(OR(J424="",Q424&lt;&gt;""),"",COUNTIF($J$5:J424,J424))</x:f>
      </x:c>
      <x:c r="U424" s="45" t="str">
        <x:f>IF(OR(J424="",Q424&lt;&gt;""),"",J424*10+R424)</x:f>
      </x:c>
    </x:row>
    <x:row r="425">
      <x:c r="R425" s="45" t="str">
        <x:f>IF(OR(J425="",Q425&lt;&gt;""),"",COUNTIF($J$5:J425,J425))</x:f>
      </x:c>
      <x:c r="U425" s="45" t="str">
        <x:f>IF(OR(J425="",Q425&lt;&gt;""),"",J425*10+R425)</x:f>
      </x:c>
    </x:row>
    <x:row r="426">
      <x:c r="R426" s="45" t="str">
        <x:f>IF(OR(J426="",Q426&lt;&gt;""),"",COUNTIF($J$5:J426,J426))</x:f>
      </x:c>
      <x:c r="U426" s="45" t="str">
        <x:f>IF(OR(J426="",Q426&lt;&gt;""),"",J426*10+R426)</x:f>
      </x:c>
    </x:row>
    <x:row r="427">
      <x:c r="R427" s="45" t="str">
        <x:f>IF(OR(J427="",Q427&lt;&gt;""),"",COUNTIF($J$5:J427,J427))</x:f>
      </x:c>
      <x:c r="U427" s="45" t="str">
        <x:f>IF(OR(J427="",Q427&lt;&gt;""),"",J427*10+R427)</x:f>
      </x:c>
    </x:row>
    <x:row r="428">
      <x:c r="R428" s="45" t="str">
        <x:f>IF(OR(J428="",Q428&lt;&gt;""),"",COUNTIF($J$5:J428,J428))</x:f>
      </x:c>
      <x:c r="U428" s="45" t="str">
        <x:f>IF(OR(J428="",Q428&lt;&gt;""),"",J428*10+R428)</x:f>
      </x:c>
    </x:row>
    <x:row r="429">
      <x:c r="R429" s="45" t="str">
        <x:f>IF(OR(J429="",Q429&lt;&gt;""),"",COUNTIF($J$5:J429,J429))</x:f>
      </x:c>
      <x:c r="U429" s="45" t="str">
        <x:f>IF(OR(J429="",Q429&lt;&gt;""),"",J429*10+R429)</x:f>
      </x:c>
    </x:row>
    <x:row r="430">
      <x:c r="R430" s="45" t="str">
        <x:f>IF(OR(J430="",Q430&lt;&gt;""),"",COUNTIF($J$5:J430,J430))</x:f>
      </x:c>
      <x:c r="U430" s="45" t="str">
        <x:f>IF(OR(J430="",Q430&lt;&gt;""),"",J430*10+R430)</x:f>
      </x:c>
    </x:row>
    <x:row r="431">
      <x:c r="R431" s="45" t="str">
        <x:f>IF(OR(J431="",Q431&lt;&gt;""),"",COUNTIF($J$5:J431,J431))</x:f>
      </x:c>
      <x:c r="U431" s="45" t="str">
        <x:f>IF(OR(J431="",Q431&lt;&gt;""),"",J431*10+R431)</x:f>
      </x:c>
    </x:row>
    <x:row r="432">
      <x:c r="R432" s="45" t="str">
        <x:f>IF(OR(J432="",Q432&lt;&gt;""),"",COUNTIF($J$5:J432,J432))</x:f>
      </x:c>
      <x:c r="U432" s="45" t="str">
        <x:f>IF(OR(J432="",Q432&lt;&gt;""),"",J432*10+R432)</x:f>
      </x:c>
    </x:row>
    <x:row r="433">
      <x:c r="R433" s="45" t="str">
        <x:f>IF(OR(J433="",Q433&lt;&gt;""),"",COUNTIF($J$5:J433,J433))</x:f>
      </x:c>
      <x:c r="U433" s="45" t="str">
        <x:f>IF(OR(J433="",Q433&lt;&gt;""),"",J433*10+R433)</x:f>
      </x:c>
    </x:row>
    <x:row r="434">
      <x:c r="R434" s="45" t="str">
        <x:f>IF(OR(J434="",Q434&lt;&gt;""),"",COUNTIF($J$5:J434,J434))</x:f>
      </x:c>
      <x:c r="U434" s="45" t="str">
        <x:f>IF(OR(J434="",Q434&lt;&gt;""),"",J434*10+R434)</x:f>
      </x:c>
    </x:row>
    <x:row r="435">
      <x:c r="R435" s="45" t="str">
        <x:f>IF(OR(J435="",Q435&lt;&gt;""),"",COUNTIF($J$5:J435,J435))</x:f>
      </x:c>
      <x:c r="U435" s="45" t="str">
        <x:f>IF(OR(J435="",Q435&lt;&gt;""),"",J435*10+R435)</x:f>
      </x:c>
    </x:row>
    <x:row r="436">
      <x:c r="R436" s="45" t="str">
        <x:f>IF(OR(J436="",Q436&lt;&gt;""),"",COUNTIF($J$5:J436,J436))</x:f>
      </x:c>
      <x:c r="U436" s="45" t="str">
        <x:f>IF(OR(J436="",Q436&lt;&gt;""),"",J436*10+R436)</x:f>
      </x:c>
    </x:row>
    <x:row r="437">
      <x:c r="R437" s="45" t="str">
        <x:f>IF(OR(J437="",Q437&lt;&gt;""),"",COUNTIF($J$5:J437,J437))</x:f>
      </x:c>
      <x:c r="U437" s="45" t="str">
        <x:f>IF(OR(J437="",Q437&lt;&gt;""),"",J437*10+R437)</x:f>
      </x:c>
    </x:row>
    <x:row r="438">
      <x:c r="R438" s="45" t="str">
        <x:f>IF(OR(J438="",Q438&lt;&gt;""),"",COUNTIF($J$5:J438,J438))</x:f>
      </x:c>
      <x:c r="U438" s="45" t="str">
        <x:f>IF(OR(J438="",Q438&lt;&gt;""),"",J438*10+R438)</x:f>
      </x:c>
    </x:row>
    <x:row r="439">
      <x:c r="R439" s="45" t="str">
        <x:f>IF(OR(J439="",Q439&lt;&gt;""),"",COUNTIF($J$5:J439,J439))</x:f>
      </x:c>
      <x:c r="U439" s="45" t="str">
        <x:f>IF(OR(J439="",Q439&lt;&gt;""),"",J439*10+R439)</x:f>
      </x:c>
    </x:row>
    <x:row r="440">
      <x:c r="R440" s="45" t="str">
        <x:f>IF(OR(J440="",Q440&lt;&gt;""),"",COUNTIF($J$5:J440,J440))</x:f>
      </x:c>
      <x:c r="U440" s="45" t="str">
        <x:f>IF(OR(J440="",Q440&lt;&gt;""),"",J440*10+R440)</x:f>
      </x:c>
    </x:row>
    <x:row r="441">
      <x:c r="R441" s="45" t="str">
        <x:f>IF(OR(J441="",Q441&lt;&gt;""),"",COUNTIF($J$5:J441,J441))</x:f>
      </x:c>
      <x:c r="U441" s="45" t="str">
        <x:f>IF(OR(J441="",Q441&lt;&gt;""),"",J441*10+R441)</x:f>
      </x:c>
    </x:row>
    <x:row r="442">
      <x:c r="R442" s="45" t="str">
        <x:f>IF(OR(J442="",Q442&lt;&gt;""),"",COUNTIF($J$5:J442,J442))</x:f>
      </x:c>
      <x:c r="U442" s="45" t="str">
        <x:f>IF(OR(J442="",Q442&lt;&gt;""),"",J442*10+R442)</x:f>
      </x:c>
    </x:row>
    <x:row r="443">
      <x:c r="R443" s="45" t="str">
        <x:f>IF(OR(J443="",Q443&lt;&gt;""),"",COUNTIF($J$5:J443,J443))</x:f>
      </x:c>
      <x:c r="U443" s="45" t="str">
        <x:f>IF(OR(J443="",Q443&lt;&gt;""),"",J443*10+R443)</x:f>
      </x:c>
    </x:row>
    <x:row r="444">
      <x:c r="R444" s="45" t="str">
        <x:f>IF(OR(J444="",Q444&lt;&gt;""),"",COUNTIF($J$5:J444,J444))</x:f>
      </x:c>
      <x:c r="U444" s="45" t="str">
        <x:f>IF(OR(J444="",Q444&lt;&gt;""),"",J444*10+R444)</x:f>
      </x:c>
    </x:row>
    <x:row r="445">
      <x:c r="R445" s="45" t="str">
        <x:f>IF(OR(J445="",Q445&lt;&gt;""),"",COUNTIF($J$5:J445,J445))</x:f>
      </x:c>
      <x:c r="U445" s="45" t="str">
        <x:f>IF(OR(J445="",Q445&lt;&gt;""),"",J445*10+R445)</x:f>
      </x:c>
    </x:row>
    <x:row r="446">
      <x:c r="R446" s="45" t="str">
        <x:f>IF(OR(J446="",Q446&lt;&gt;""),"",COUNTIF($J$5:J446,J446))</x:f>
      </x:c>
      <x:c r="U446" s="45" t="str">
        <x:f>IF(OR(J446="",Q446&lt;&gt;""),"",J446*10+R446)</x:f>
      </x:c>
    </x:row>
    <x:row r="447">
      <x:c r="R447" s="45" t="str">
        <x:f>IF(OR(J447="",Q447&lt;&gt;""),"",COUNTIF($J$5:J447,J447))</x:f>
      </x:c>
      <x:c r="U447" s="45" t="str">
        <x:f>IF(OR(J447="",Q447&lt;&gt;""),"",J447*10+R447)</x:f>
      </x:c>
    </x:row>
    <x:row r="448">
      <x:c r="R448" s="45" t="str">
        <x:f>IF(OR(J448="",Q448&lt;&gt;""),"",COUNTIF($J$5:J448,J448))</x:f>
      </x:c>
      <x:c r="U448" s="45" t="str">
        <x:f>IF(OR(J448="",Q448&lt;&gt;""),"",J448*10+R448)</x:f>
      </x:c>
    </x:row>
    <x:row r="449">
      <x:c r="R449" s="45" t="str">
        <x:f>IF(OR(J449="",Q449&lt;&gt;""),"",COUNTIF($J$5:J449,J449))</x:f>
      </x:c>
      <x:c r="U449" s="45" t="str">
        <x:f>IF(OR(J449="",Q449&lt;&gt;""),"",J449*10+R449)</x:f>
      </x:c>
    </x:row>
    <x:row r="450">
      <x:c r="R450" s="45" t="str">
        <x:f>IF(OR(J450="",Q450&lt;&gt;""),"",COUNTIF($J$5:J450,J450))</x:f>
      </x:c>
      <x:c r="U450" s="45" t="str">
        <x:f>IF(OR(J450="",Q450&lt;&gt;""),"",J450*10+R450)</x:f>
      </x:c>
    </x:row>
    <x:row r="451">
      <x:c r="R451" s="45" t="str">
        <x:f>IF(OR(J451="",Q451&lt;&gt;""),"",COUNTIF($J$5:J451,J451))</x:f>
      </x:c>
      <x:c r="U451" s="45" t="str">
        <x:f>IF(OR(J451="",Q451&lt;&gt;""),"",J451*10+R451)</x:f>
      </x:c>
    </x:row>
    <x:row r="452">
      <x:c r="R452" s="45" t="str">
        <x:f>IF(OR(J452="",Q452&lt;&gt;""),"",COUNTIF($J$5:J452,J452))</x:f>
      </x:c>
      <x:c r="U452" s="45" t="str">
        <x:f>IF(OR(J452="",Q452&lt;&gt;""),"",J452*10+R452)</x:f>
      </x:c>
    </x:row>
    <x:row r="453">
      <x:c r="R453" s="45" t="str">
        <x:f>IF(OR(J453="",Q453&lt;&gt;""),"",COUNTIF($J$5:J453,J453))</x:f>
      </x:c>
      <x:c r="U453" s="45" t="str">
        <x:f>IF(OR(J453="",Q453&lt;&gt;""),"",J453*10+R453)</x:f>
      </x:c>
    </x:row>
    <x:row r="454">
      <x:c r="R454" s="45" t="str">
        <x:f>IF(OR(J454="",Q454&lt;&gt;""),"",COUNTIF($J$5:J454,J454))</x:f>
      </x:c>
      <x:c r="U454" s="45" t="str">
        <x:f>IF(OR(J454="",Q454&lt;&gt;""),"",J454*10+R454)</x:f>
      </x:c>
    </x:row>
    <x:row r="455">
      <x:c r="R455" s="45" t="str">
        <x:f>IF(OR(J455="",Q455&lt;&gt;""),"",COUNTIF($J$5:J455,J455))</x:f>
      </x:c>
      <x:c r="U455" s="45" t="str">
        <x:f>IF(OR(J455="",Q455&lt;&gt;""),"",J455*10+R455)</x:f>
      </x:c>
    </x:row>
    <x:row r="456">
      <x:c r="R456" s="45" t="str">
        <x:f>IF(OR(J456="",Q456&lt;&gt;""),"",COUNTIF($J$5:J456,J456))</x:f>
      </x:c>
      <x:c r="U456" s="45" t="str">
        <x:f>IF(OR(J456="",Q456&lt;&gt;""),"",J456*10+R456)</x:f>
      </x:c>
    </x:row>
    <x:row r="457">
      <x:c r="R457" s="45" t="str">
        <x:f>IF(OR(J457="",Q457&lt;&gt;""),"",COUNTIF($J$5:J457,J457))</x:f>
      </x:c>
      <x:c r="U457" s="45" t="str">
        <x:f>IF(OR(J457="",Q457&lt;&gt;""),"",J457*10+R457)</x:f>
      </x:c>
    </x:row>
    <x:row r="458">
      <x:c r="R458" s="45" t="str">
        <x:f>IF(OR(J458="",Q458&lt;&gt;""),"",COUNTIF($J$5:J458,J458))</x:f>
      </x:c>
      <x:c r="U458" s="45" t="str">
        <x:f>IF(OR(J458="",Q458&lt;&gt;""),"",J458*10+R458)</x:f>
      </x:c>
    </x:row>
    <x:row r="459">
      <x:c r="R459" s="45" t="str">
        <x:f>IF(OR(J459="",Q459&lt;&gt;""),"",COUNTIF($J$5:J459,J459))</x:f>
      </x:c>
      <x:c r="U459" s="45" t="str">
        <x:f>IF(OR(J459="",Q459&lt;&gt;""),"",J459*10+R459)</x:f>
      </x:c>
    </x:row>
    <x:row r="460">
      <x:c r="R460" s="45" t="str">
        <x:f>IF(OR(J460="",Q460&lt;&gt;""),"",COUNTIF($J$5:J460,J460))</x:f>
      </x:c>
      <x:c r="U460" s="45" t="str">
        <x:f>IF(OR(J460="",Q460&lt;&gt;""),"",J460*10+R460)</x:f>
      </x:c>
    </x:row>
    <x:row r="461">
      <x:c r="R461" s="45" t="str">
        <x:f>IF(OR(J461="",Q461&lt;&gt;""),"",COUNTIF($J$5:J461,J461))</x:f>
      </x:c>
      <x:c r="U461" s="45" t="str">
        <x:f>IF(OR(J461="",Q461&lt;&gt;""),"",J461*10+R461)</x:f>
      </x:c>
    </x:row>
    <x:row r="462">
      <x:c r="R462" s="45" t="str">
        <x:f>IF(OR(J462="",Q462&lt;&gt;""),"",COUNTIF($J$5:J462,J462))</x:f>
      </x:c>
      <x:c r="U462" s="45" t="str">
        <x:f>IF(OR(J462="",Q462&lt;&gt;""),"",J462*10+R462)</x:f>
      </x:c>
    </x:row>
    <x:row r="463">
      <x:c r="R463" s="45" t="str">
        <x:f>IF(OR(J463="",Q463&lt;&gt;""),"",COUNTIF($J$5:J463,J463))</x:f>
      </x:c>
      <x:c r="U463" s="45" t="str">
        <x:f>IF(OR(J463="",Q463&lt;&gt;""),"",J463*10+R463)</x:f>
      </x:c>
    </x:row>
    <x:row r="464">
      <x:c r="R464" s="45" t="str">
        <x:f>IF(OR(J464="",Q464&lt;&gt;""),"",COUNTIF($J$5:J464,J464))</x:f>
      </x:c>
      <x:c r="U464" s="45" t="str">
        <x:f>IF(OR(J464="",Q464&lt;&gt;""),"",J464*10+R464)</x:f>
      </x:c>
    </x:row>
    <x:row r="465">
      <x:c r="R465" s="45" t="str">
        <x:f>IF(OR(J465="",Q465&lt;&gt;""),"",COUNTIF($J$5:J465,J465))</x:f>
      </x:c>
      <x:c r="U465" s="45" t="str">
        <x:f>IF(OR(J465="",Q465&lt;&gt;""),"",J465*10+R465)</x:f>
      </x:c>
    </x:row>
    <x:row r="466">
      <x:c r="R466" s="45" t="str">
        <x:f>IF(OR(J466="",Q466&lt;&gt;""),"",COUNTIF($J$5:J466,J466))</x:f>
      </x:c>
      <x:c r="U466" s="45" t="str">
        <x:f>IF(OR(J466="",Q466&lt;&gt;""),"",J466*10+R466)</x:f>
      </x:c>
    </x:row>
    <x:row r="467">
      <x:c r="R467" s="45" t="str">
        <x:f>IF(OR(J467="",Q467&lt;&gt;""),"",COUNTIF($J$5:J467,J467))</x:f>
      </x:c>
      <x:c r="U467" s="45" t="str">
        <x:f>IF(OR(J467="",Q467&lt;&gt;""),"",J467*10+R467)</x:f>
      </x:c>
    </x:row>
    <x:row r="468">
      <x:c r="R468" s="45" t="str">
        <x:f>IF(OR(J468="",Q468&lt;&gt;""),"",COUNTIF($J$5:J468,J468))</x:f>
      </x:c>
      <x:c r="U468" s="45" t="str">
        <x:f>IF(OR(J468="",Q468&lt;&gt;""),"",J468*10+R468)</x:f>
      </x:c>
    </x:row>
    <x:row r="469">
      <x:c r="R469" s="45" t="str">
        <x:f>IF(OR(J469="",Q469&lt;&gt;""),"",COUNTIF($J$5:J469,J469))</x:f>
      </x:c>
      <x:c r="U469" s="45" t="str">
        <x:f>IF(OR(J469="",Q469&lt;&gt;""),"",J469*10+R469)</x:f>
      </x:c>
    </x:row>
    <x:row r="470">
      <x:c r="R470" s="45" t="str">
        <x:f>IF(OR(J470="",Q470&lt;&gt;""),"",COUNTIF($J$5:J470,J470))</x:f>
      </x:c>
      <x:c r="U470" s="45" t="str">
        <x:f>IF(OR(J470="",Q470&lt;&gt;""),"",J470*10+R470)</x:f>
      </x:c>
    </x:row>
    <x:row r="471">
      <x:c r="R471" s="45" t="str">
        <x:f>IF(OR(J471="",Q471&lt;&gt;""),"",COUNTIF($J$5:J471,J471))</x:f>
      </x:c>
      <x:c r="U471" s="45" t="str">
        <x:f>IF(OR(J471="",Q471&lt;&gt;""),"",J471*10+R471)</x:f>
      </x:c>
    </x:row>
    <x:row r="472">
      <x:c r="R472" s="45" t="str">
        <x:f>IF(OR(J472="",Q472&lt;&gt;""),"",COUNTIF($J$5:J472,J472))</x:f>
      </x:c>
      <x:c r="U472" s="45" t="str">
        <x:f>IF(OR(J472="",Q472&lt;&gt;""),"",J472*10+R472)</x:f>
      </x:c>
    </x:row>
    <x:row r="473">
      <x:c r="R473" s="45" t="str">
        <x:f>IF(OR(J473="",Q473&lt;&gt;""),"",COUNTIF($J$5:J473,J473))</x:f>
      </x:c>
      <x:c r="U473" s="45" t="str">
        <x:f>IF(OR(J473="",Q473&lt;&gt;""),"",J473*10+R473)</x:f>
      </x:c>
    </x:row>
    <x:row r="474">
      <x:c r="R474" s="45" t="str">
        <x:f>IF(OR(J474="",Q474&lt;&gt;""),"",COUNTIF($J$5:J474,J474))</x:f>
      </x:c>
      <x:c r="U474" s="45" t="str">
        <x:f>IF(OR(J474="",Q474&lt;&gt;""),"",J474*10+R474)</x:f>
      </x:c>
    </x:row>
    <x:row r="475">
      <x:c r="R475" s="45" t="str">
        <x:f>IF(OR(J475="",Q475&lt;&gt;""),"",COUNTIF($J$5:J475,J475))</x:f>
      </x:c>
      <x:c r="U475" s="45" t="str">
        <x:f>IF(OR(J475="",Q475&lt;&gt;""),"",J475*10+R475)</x:f>
      </x:c>
    </x:row>
    <x:row r="476">
      <x:c r="R476" s="45" t="str">
        <x:f>IF(OR(J476="",Q476&lt;&gt;""),"",COUNTIF($J$5:J476,J476))</x:f>
      </x:c>
      <x:c r="U476" s="45" t="str">
        <x:f>IF(OR(J476="",Q476&lt;&gt;""),"",J476*10+R476)</x:f>
      </x:c>
    </x:row>
    <x:row r="477">
      <x:c r="R477" s="45" t="str">
        <x:f>IF(OR(J477="",Q477&lt;&gt;""),"",COUNTIF($J$5:J477,J477))</x:f>
      </x:c>
      <x:c r="U477" s="45" t="str">
        <x:f>IF(OR(J477="",Q477&lt;&gt;""),"",J477*10+R477)</x:f>
      </x:c>
    </x:row>
    <x:row r="478">
      <x:c r="R478" s="45" t="str">
        <x:f>IF(OR(J478="",Q478&lt;&gt;""),"",COUNTIF($J$5:J478,J478))</x:f>
      </x:c>
      <x:c r="U478" s="45" t="str">
        <x:f>IF(OR(J478="",Q478&lt;&gt;""),"",J478*10+R478)</x:f>
      </x:c>
    </x:row>
    <x:row r="479">
      <x:c r="R479" s="45" t="str">
        <x:f>IF(OR(J479="",Q479&lt;&gt;""),"",COUNTIF($J$5:J479,J479))</x:f>
      </x:c>
      <x:c r="U479" s="45" t="str">
        <x:f>IF(OR(J479="",Q479&lt;&gt;""),"",J479*10+R479)</x:f>
      </x:c>
    </x:row>
    <x:row r="480">
      <x:c r="R480" s="45" t="str">
        <x:f>IF(OR(J480="",Q480&lt;&gt;""),"",COUNTIF($J$5:J480,J480))</x:f>
      </x:c>
      <x:c r="U480" s="45" t="str">
        <x:f>IF(OR(J480="",Q480&lt;&gt;""),"",J480*10+R480)</x:f>
      </x:c>
    </x:row>
    <x:row r="481">
      <x:c r="R481" s="45" t="str">
        <x:f>IF(OR(J481="",Q481&lt;&gt;""),"",COUNTIF($J$5:J481,J481))</x:f>
      </x:c>
      <x:c r="U481" s="45" t="str">
        <x:f>IF(OR(J481="",Q481&lt;&gt;""),"",J481*10+R481)</x:f>
      </x:c>
    </x:row>
    <x:row r="482">
      <x:c r="R482" s="45" t="str">
        <x:f>IF(OR(J482="",Q482&lt;&gt;""),"",COUNTIF($J$5:J482,J482))</x:f>
      </x:c>
      <x:c r="U482" s="45" t="str">
        <x:f>IF(OR(J482="",Q482&lt;&gt;""),"",J482*10+R482)</x:f>
      </x:c>
    </x:row>
    <x:row r="483">
      <x:c r="R483" s="45" t="str">
        <x:f>IF(OR(J483="",Q483&lt;&gt;""),"",COUNTIF($J$5:J483,J483))</x:f>
      </x:c>
      <x:c r="U483" s="45" t="str">
        <x:f>IF(OR(J483="",Q483&lt;&gt;""),"",J483*10+R483)</x:f>
      </x:c>
    </x:row>
    <x:row r="484">
      <x:c r="R484" s="45" t="str">
        <x:f>IF(OR(J484="",Q484&lt;&gt;""),"",COUNTIF($J$5:J484,J484))</x:f>
      </x:c>
      <x:c r="U484" s="45" t="str">
        <x:f>IF(OR(J484="",Q484&lt;&gt;""),"",J484*10+R484)</x:f>
      </x:c>
    </x:row>
    <x:row r="485">
      <x:c r="R485" s="45" t="str">
        <x:f>IF(OR(J485="",Q485&lt;&gt;""),"",COUNTIF($J$5:J485,J485))</x:f>
      </x:c>
      <x:c r="U485" s="45" t="str">
        <x:f>IF(OR(J485="",Q485&lt;&gt;""),"",J485*10+R485)</x:f>
      </x:c>
    </x:row>
    <x:row r="486">
      <x:c r="R486" s="45" t="str">
        <x:f>IF(OR(J486="",Q486&lt;&gt;""),"",COUNTIF($J$5:J486,J486))</x:f>
      </x:c>
      <x:c r="U486" s="45" t="str">
        <x:f>IF(OR(J486="",Q486&lt;&gt;""),"",J486*10+R486)</x:f>
      </x:c>
    </x:row>
    <x:row r="487">
      <x:c r="R487" s="45" t="str">
        <x:f>IF(OR(J487="",Q487&lt;&gt;""),"",COUNTIF($J$5:J487,J487))</x:f>
      </x:c>
      <x:c r="U487" s="45" t="str">
        <x:f>IF(OR(J487="",Q487&lt;&gt;""),"",J487*10+R487)</x:f>
      </x:c>
    </x:row>
    <x:row r="488">
      <x:c r="R488" s="45" t="str">
        <x:f>IF(OR(J488="",Q488&lt;&gt;""),"",COUNTIF($J$5:J488,J488))</x:f>
      </x:c>
      <x:c r="U488" s="45" t="str">
        <x:f>IF(OR(J488="",Q488&lt;&gt;""),"",J488*10+R488)</x:f>
      </x:c>
    </x:row>
    <x:row r="489">
      <x:c r="R489" s="45" t="str">
        <x:f>IF(OR(J489="",Q489&lt;&gt;""),"",COUNTIF($J$5:J489,J489))</x:f>
      </x:c>
      <x:c r="U489" s="45" t="str">
        <x:f>IF(OR(J489="",Q489&lt;&gt;""),"",J489*10+R489)</x:f>
      </x:c>
    </x:row>
    <x:row r="490">
      <x:c r="R490" s="45" t="str">
        <x:f>IF(OR(J490="",Q490&lt;&gt;""),"",COUNTIF($J$5:J490,J490))</x:f>
      </x:c>
      <x:c r="U490" s="45" t="str">
        <x:f>IF(OR(J490="",Q490&lt;&gt;""),"",J490*10+R490)</x:f>
      </x:c>
    </x:row>
    <x:row r="491">
      <x:c r="R491" s="45" t="str">
        <x:f>IF(OR(J491="",Q491&lt;&gt;""),"",COUNTIF($J$5:J491,J491))</x:f>
      </x:c>
      <x:c r="U491" s="45" t="str">
        <x:f>IF(OR(J491="",Q491&lt;&gt;""),"",J491*10+R491)</x:f>
      </x:c>
    </x:row>
    <x:row r="492">
      <x:c r="R492" s="45" t="str">
        <x:f>IF(OR(J492="",Q492&lt;&gt;""),"",COUNTIF($J$5:J492,J492))</x:f>
      </x:c>
      <x:c r="U492" s="45" t="str">
        <x:f>IF(OR(J492="",Q492&lt;&gt;""),"",J492*10+R492)</x:f>
      </x:c>
    </x:row>
    <x:row r="493">
      <x:c r="R493" s="45" t="str">
        <x:f>IF(OR(J493="",Q493&lt;&gt;""),"",COUNTIF($J$5:J493,J493))</x:f>
      </x:c>
      <x:c r="U493" s="45" t="str">
        <x:f>IF(OR(J493="",Q493&lt;&gt;""),"",J493*10+R493)</x:f>
      </x:c>
    </x:row>
    <x:row r="494">
      <x:c r="R494" s="45" t="str">
        <x:f>IF(OR(J494="",Q494&lt;&gt;""),"",COUNTIF($J$5:J494,J494))</x:f>
      </x:c>
      <x:c r="U494" s="45" t="str">
        <x:f>IF(OR(J494="",Q494&lt;&gt;""),"",J494*10+R494)</x:f>
      </x:c>
    </x:row>
    <x:row r="495">
      <x:c r="R495" s="45" t="str">
        <x:f>IF(OR(J495="",Q495&lt;&gt;""),"",COUNTIF($J$5:J495,J495))</x:f>
      </x:c>
      <x:c r="U495" s="45" t="str">
        <x:f>IF(OR(J495="",Q495&lt;&gt;""),"",J495*10+R495)</x:f>
      </x:c>
    </x:row>
    <x:row r="496">
      <x:c r="R496" s="45" t="str">
        <x:f>IF(OR(J496="",Q496&lt;&gt;""),"",COUNTIF($J$5:J496,J496))</x:f>
      </x:c>
      <x:c r="U496" s="45" t="str">
        <x:f>IF(OR(J496="",Q496&lt;&gt;""),"",J496*10+R496)</x:f>
      </x:c>
    </x:row>
    <x:row r="497">
      <x:c r="R497" s="45" t="str">
        <x:f>IF(OR(J497="",Q497&lt;&gt;""),"",COUNTIF($J$5:J497,J497))</x:f>
      </x:c>
      <x:c r="U497" s="45" t="str">
        <x:f>IF(OR(J497="",Q497&lt;&gt;""),"",J497*10+R497)</x:f>
      </x:c>
    </x:row>
    <x:row r="498">
      <x:c r="R498" s="45" t="str">
        <x:f>IF(OR(J498="",Q498&lt;&gt;""),"",COUNTIF($J$5:J498,J498))</x:f>
      </x:c>
      <x:c r="U498" s="45" t="str">
        <x:f>IF(OR(J498="",Q498&lt;&gt;""),"",J498*10+R498)</x:f>
      </x:c>
    </x:row>
    <x:row r="499">
      <x:c r="R499" s="45" t="str">
        <x:f>IF(OR(J499="",Q499&lt;&gt;""),"",COUNTIF($J$5:J499,J499))</x:f>
      </x:c>
      <x:c r="U499" s="45" t="str">
        <x:f>IF(OR(J499="",Q499&lt;&gt;""),"",J499*10+R499)</x:f>
      </x:c>
    </x:row>
    <x:row r="500">
      <x:c r="R500" s="45" t="str">
        <x:f>IF(OR(J500="",Q500&lt;&gt;""),"",COUNTIF($J$5:J500,J500))</x:f>
      </x:c>
      <x:c r="U500" s="45" t="str">
        <x:f>IF(OR(J500="",Q500&lt;&gt;""),"",J500*10+R500)</x:f>
      </x:c>
    </x:row>
    <x:row r="501">
      <x:c r="R501" s="45" t="str">
        <x:f>IF(OR(J501="",Q501&lt;&gt;""),"",COUNTIF($J$5:J501,J501))</x:f>
      </x:c>
      <x:c r="U501" s="45" t="str">
        <x:f>IF(OR(J501="",Q501&lt;&gt;""),"",J501*10+R501)</x:f>
      </x:c>
    </x:row>
    <x:row r="502">
      <x:c r="R502" s="45" t="str">
        <x:f>IF(OR(J502="",Q502&lt;&gt;""),"",COUNTIF($J$5:J502,J502))</x:f>
      </x:c>
      <x:c r="U502" s="45" t="str">
        <x:f>IF(OR(J502="",Q502&lt;&gt;""),"",J502*10+R502)</x:f>
      </x:c>
    </x:row>
    <x:row r="503">
      <x:c r="R503" s="45" t="str">
        <x:f>IF(OR(J503="",Q503&lt;&gt;""),"",COUNTIF($J$5:J503,J503))</x:f>
      </x:c>
      <x:c r="U503" s="45" t="str">
        <x:f>IF(OR(J503="",Q503&lt;&gt;""),"",J503*10+R503)</x:f>
      </x:c>
    </x:row>
    <x:row r="504">
      <x:c r="R504" s="45" t="str">
        <x:f>IF(OR(J504="",Q504&lt;&gt;""),"",COUNTIF($J$5:J504,J504))</x:f>
      </x:c>
      <x:c r="U504" s="45" t="str">
        <x:f>IF(OR(J504="",Q504&lt;&gt;""),"",J504*10+R504)</x:f>
      </x:c>
    </x:row>
  </x:sheetData>
  <x:mergeCells>
    <x:mergeCell ref="J1:Q1"/>
    <x:mergeCell ref="J2:Q2"/>
    <x:mergeCell ref="B17:I17"/>
    <x:mergeCell ref="B18:C18"/>
    <x:mergeCell ref="D18:I18"/>
    <x:mergeCell ref="B19:C19"/>
    <x:mergeCell ref="D19:I19"/>
    <x:mergeCell ref="B20:C20"/>
    <x:mergeCell ref="D20:I20"/>
    <x:mergeCell ref="B21:C21"/>
    <x:mergeCell ref="D21:I21"/>
    <x:mergeCell ref="B22:C22"/>
    <x:mergeCell ref="D22:I22"/>
    <x:mergeCell ref="B23:C23"/>
    <x:mergeCell ref="D23:I23"/>
    <x:mergeCell ref="B24:C24"/>
    <x:mergeCell ref="D24:I24"/>
    <x:mergeCell ref="B25:C25"/>
    <x:mergeCell ref="D25:I25"/>
  </x:mergeCells>
  <x:conditionalFormatting sqref="B3:H3 B5:H5 B7:H7 B9:H9 B11:H11 B13:H13">
    <x:cfRule type="expression" dxfId="1" priority="3" stopIfTrue="1">
      <x:formula>MONTH(B3)&lt;&gt;$H$1</x:formula>
    </x:cfRule>
  </x:conditionalFormatting>
  <x:conditionalFormatting sqref="B3:B3">
    <x:cfRule type="expression" dxfId="2" priority="4">
      <x:formula>INDEX($W$2:$W$43,(ROW()-3)/2*7+COLUMN()-1)&lt;&gt;""</x:formula>
    </x:cfRule>
  </x:conditionalFormatting>
  <x:conditionalFormatting sqref="C3:C3">
    <x:cfRule type="expression" dxfId="3" priority="5">
      <x:formula>INDEX($W$2:$W$43,(ROW()-3)/2*7+COLUMN()-1)&lt;&gt;""</x:formula>
    </x:cfRule>
  </x:conditionalFormatting>
  <x:conditionalFormatting sqref="D3:D3">
    <x:cfRule type="expression" dxfId="4" priority="6">
      <x:formula>INDEX($W$2:$W$43,(ROW()-3)/2*7+COLUMN()-1)&lt;&gt;""</x:formula>
    </x:cfRule>
  </x:conditionalFormatting>
  <x:conditionalFormatting sqref="E3:E3">
    <x:cfRule type="expression" dxfId="5" priority="7">
      <x:formula>INDEX($W$2:$W$43,(ROW()-3)/2*7+COLUMN()-1)&lt;&gt;""</x:formula>
    </x:cfRule>
  </x:conditionalFormatting>
  <x:conditionalFormatting sqref="F3:F3">
    <x:cfRule type="expression" dxfId="6" priority="8">
      <x:formula>INDEX($W$2:$W$43,(ROW()-3)/2*7+COLUMN()-1)&lt;&gt;""</x:formula>
    </x:cfRule>
  </x:conditionalFormatting>
  <x:conditionalFormatting sqref="G3:G3">
    <x:cfRule type="expression" dxfId="7" priority="9">
      <x:formula>INDEX($W$2:$W$43,(ROW()-3)/2*7+COLUMN()-1)&lt;&gt;""</x:formula>
    </x:cfRule>
  </x:conditionalFormatting>
  <x:conditionalFormatting sqref="H3:H3">
    <x:cfRule type="expression" dxfId="8" priority="10">
      <x:formula>INDEX($W$2:$W$43,(ROW()-3)/2*7+COLUMN()-1)&lt;&gt;""</x:formula>
    </x:cfRule>
  </x:conditionalFormatting>
  <x:conditionalFormatting sqref="B5:B5">
    <x:cfRule type="expression" dxfId="9" priority="11">
      <x:formula>INDEX($W$2:$W$43,(ROW()-3)/2*7+COLUMN()-1)&lt;&gt;""</x:formula>
    </x:cfRule>
  </x:conditionalFormatting>
  <x:conditionalFormatting sqref="C5:C5">
    <x:cfRule type="expression" dxfId="10" priority="12">
      <x:formula>INDEX($W$2:$W$43,(ROW()-3)/2*7+COLUMN()-1)&lt;&gt;""</x:formula>
    </x:cfRule>
  </x:conditionalFormatting>
  <x:conditionalFormatting sqref="D5:D5">
    <x:cfRule type="expression" dxfId="11" priority="13">
      <x:formula>INDEX($W$2:$W$43,(ROW()-3)/2*7+COLUMN()-1)&lt;&gt;""</x:formula>
    </x:cfRule>
  </x:conditionalFormatting>
  <x:conditionalFormatting sqref="E5:E5">
    <x:cfRule type="expression" dxfId="12" priority="14">
      <x:formula>INDEX($W$2:$W$43,(ROW()-3)/2*7+COLUMN()-1)&lt;&gt;""</x:formula>
    </x:cfRule>
  </x:conditionalFormatting>
  <x:conditionalFormatting sqref="F5:F5">
    <x:cfRule type="expression" dxfId="13" priority="15">
      <x:formula>INDEX($W$2:$W$43,(ROW()-3)/2*7+COLUMN()-1)&lt;&gt;""</x:formula>
    </x:cfRule>
  </x:conditionalFormatting>
  <x:conditionalFormatting sqref="G5:G5">
    <x:cfRule type="expression" dxfId="14" priority="16">
      <x:formula>INDEX($W$2:$W$43,(ROW()-3)/2*7+COLUMN()-1)&lt;&gt;""</x:formula>
    </x:cfRule>
  </x:conditionalFormatting>
  <x:conditionalFormatting sqref="H5:H5">
    <x:cfRule type="expression" dxfId="15" priority="17">
      <x:formula>INDEX($W$2:$W$43,(ROW()-3)/2*7+COLUMN()-1)&lt;&gt;""</x:formula>
    </x:cfRule>
  </x:conditionalFormatting>
  <x:conditionalFormatting sqref="B7:B7">
    <x:cfRule type="expression" dxfId="16" priority="18">
      <x:formula>INDEX($W$2:$W$43,(ROW()-3)/2*7+COLUMN()-1)&lt;&gt;""</x:formula>
    </x:cfRule>
  </x:conditionalFormatting>
  <x:conditionalFormatting sqref="C7:C7">
    <x:cfRule type="expression" dxfId="17" priority="19">
      <x:formula>INDEX($W$2:$W$43,(ROW()-3)/2*7+COLUMN()-1)&lt;&gt;""</x:formula>
    </x:cfRule>
  </x:conditionalFormatting>
  <x:conditionalFormatting sqref="D7:D7">
    <x:cfRule type="expression" dxfId="18" priority="20">
      <x:formula>INDEX($W$2:$W$43,(ROW()-3)/2*7+COLUMN()-1)&lt;&gt;""</x:formula>
    </x:cfRule>
  </x:conditionalFormatting>
  <x:conditionalFormatting sqref="E7:E7">
    <x:cfRule type="expression" dxfId="19" priority="21">
      <x:formula>INDEX($W$2:$W$43,(ROW()-3)/2*7+COLUMN()-1)&lt;&gt;""</x:formula>
    </x:cfRule>
  </x:conditionalFormatting>
  <x:conditionalFormatting sqref="F7:F7">
    <x:cfRule type="expression" dxfId="20" priority="22">
      <x:formula>INDEX($W$2:$W$43,(ROW()-3)/2*7+COLUMN()-1)&lt;&gt;""</x:formula>
    </x:cfRule>
  </x:conditionalFormatting>
  <x:conditionalFormatting sqref="G7:G7">
    <x:cfRule type="expression" dxfId="21" priority="23">
      <x:formula>INDEX($W$2:$W$43,(ROW()-3)/2*7+COLUMN()-1)&lt;&gt;""</x:formula>
    </x:cfRule>
  </x:conditionalFormatting>
  <x:conditionalFormatting sqref="H7:H7">
    <x:cfRule type="expression" dxfId="22" priority="24">
      <x:formula>INDEX($W$2:$W$43,(ROW()-3)/2*7+COLUMN()-1)&lt;&gt;""</x:formula>
    </x:cfRule>
  </x:conditionalFormatting>
  <x:conditionalFormatting sqref="B9:B9">
    <x:cfRule type="expression" dxfId="23" priority="25">
      <x:formula>INDEX($W$2:$W$43,(ROW()-3)/2*7+COLUMN()-1)&lt;&gt;""</x:formula>
    </x:cfRule>
  </x:conditionalFormatting>
  <x:conditionalFormatting sqref="C9:C9">
    <x:cfRule type="expression" dxfId="24" priority="26">
      <x:formula>INDEX($W$2:$W$43,(ROW()-3)/2*7+COLUMN()-1)&lt;&gt;""</x:formula>
    </x:cfRule>
  </x:conditionalFormatting>
  <x:conditionalFormatting sqref="D9:D9">
    <x:cfRule type="expression" dxfId="25" priority="27">
      <x:formula>INDEX($W$2:$W$43,(ROW()-3)/2*7+COLUMN()-1)&lt;&gt;""</x:formula>
    </x:cfRule>
  </x:conditionalFormatting>
  <x:conditionalFormatting sqref="E9:E9">
    <x:cfRule type="expression" dxfId="26" priority="28">
      <x:formula>INDEX($W$2:$W$43,(ROW()-3)/2*7+COLUMN()-1)&lt;&gt;""</x:formula>
    </x:cfRule>
  </x:conditionalFormatting>
  <x:conditionalFormatting sqref="F9:F9">
    <x:cfRule type="expression" dxfId="27" priority="29">
      <x:formula>INDEX($W$2:$W$43,(ROW()-3)/2*7+COLUMN()-1)&lt;&gt;""</x:formula>
    </x:cfRule>
  </x:conditionalFormatting>
  <x:conditionalFormatting sqref="G9:G9">
    <x:cfRule type="expression" dxfId="28" priority="30">
      <x:formula>INDEX($W$2:$W$43,(ROW()-3)/2*7+COLUMN()-1)&lt;&gt;""</x:formula>
    </x:cfRule>
  </x:conditionalFormatting>
  <x:conditionalFormatting sqref="H9:H9">
    <x:cfRule type="expression" dxfId="29" priority="31">
      <x:formula>INDEX($W$2:$W$43,(ROW()-3)/2*7+COLUMN()-1)&lt;&gt;""</x:formula>
    </x:cfRule>
  </x:conditionalFormatting>
  <x:conditionalFormatting sqref="B11:B11">
    <x:cfRule type="expression" dxfId="30" priority="32">
      <x:formula>INDEX($W$2:$W$43,(ROW()-3)/2*7+COLUMN()-1)&lt;&gt;""</x:formula>
    </x:cfRule>
  </x:conditionalFormatting>
  <x:conditionalFormatting sqref="C11:C11">
    <x:cfRule type="expression" dxfId="31" priority="33">
      <x:formula>INDEX($W$2:$W$43,(ROW()-3)/2*7+COLUMN()-1)&lt;&gt;""</x:formula>
    </x:cfRule>
  </x:conditionalFormatting>
  <x:conditionalFormatting sqref="D11:D11">
    <x:cfRule type="expression" dxfId="32" priority="34">
      <x:formula>INDEX($W$2:$W$43,(ROW()-3)/2*7+COLUMN()-1)&lt;&gt;""</x:formula>
    </x:cfRule>
  </x:conditionalFormatting>
  <x:conditionalFormatting sqref="E11:E11">
    <x:cfRule type="expression" dxfId="33" priority="35">
      <x:formula>INDEX($W$2:$W$43,(ROW()-3)/2*7+COLUMN()-1)&lt;&gt;""</x:formula>
    </x:cfRule>
  </x:conditionalFormatting>
  <x:conditionalFormatting sqref="F11:F11">
    <x:cfRule type="expression" dxfId="34" priority="36">
      <x:formula>INDEX($W$2:$W$43,(ROW()-3)/2*7+COLUMN()-1)&lt;&gt;""</x:formula>
    </x:cfRule>
  </x:conditionalFormatting>
  <x:conditionalFormatting sqref="G11:G11">
    <x:cfRule type="expression" dxfId="35" priority="37">
      <x:formula>INDEX($W$2:$W$43,(ROW()-3)/2*7+COLUMN()-1)&lt;&gt;""</x:formula>
    </x:cfRule>
  </x:conditionalFormatting>
  <x:conditionalFormatting sqref="H11:H11">
    <x:cfRule type="expression" dxfId="36" priority="38">
      <x:formula>INDEX($W$2:$W$43,(ROW()-3)/2*7+COLUMN()-1)&lt;&gt;""</x:formula>
    </x:cfRule>
  </x:conditionalFormatting>
  <x:conditionalFormatting sqref="B13:B13">
    <x:cfRule type="expression" dxfId="37" priority="39">
      <x:formula>INDEX($W$2:$W$43,(ROW()-3)/2*7+COLUMN()-1)&lt;&gt;""</x:formula>
    </x:cfRule>
  </x:conditionalFormatting>
  <x:conditionalFormatting sqref="C13:C13">
    <x:cfRule type="expression" dxfId="38" priority="40">
      <x:formula>INDEX($W$2:$W$43,(ROW()-3)/2*7+COLUMN()-1)&lt;&gt;""</x:formula>
    </x:cfRule>
  </x:conditionalFormatting>
  <x:conditionalFormatting sqref="D13:D13">
    <x:cfRule type="expression" dxfId="39" priority="41">
      <x:formula>INDEX($W$2:$W$43,(ROW()-3)/2*7+COLUMN()-1)&lt;&gt;""</x:formula>
    </x:cfRule>
  </x:conditionalFormatting>
  <x:conditionalFormatting sqref="E13:E13">
    <x:cfRule type="expression" dxfId="40" priority="42">
      <x:formula>INDEX($W$2:$W$43,(ROW()-3)/2*7+COLUMN()-1)&lt;&gt;""</x:formula>
    </x:cfRule>
  </x:conditionalFormatting>
  <x:conditionalFormatting sqref="F13:F13">
    <x:cfRule type="expression" dxfId="41" priority="43">
      <x:formula>INDEX($W$2:$W$43,(ROW()-3)/2*7+COLUMN()-1)&lt;&gt;""</x:formula>
    </x:cfRule>
  </x:conditionalFormatting>
  <x:conditionalFormatting sqref="G13:G13">
    <x:cfRule type="expression" dxfId="42" priority="44">
      <x:formula>INDEX($W$2:$W$43,(ROW()-3)/2*7+COLUMN()-1)&lt;&gt;""</x:formula>
    </x:cfRule>
  </x:conditionalFormatting>
  <x:conditionalFormatting sqref="H13:H13">
    <x:cfRule type="expression" dxfId="43" priority="45">
      <x:formula>INDEX($W$2:$W$43,(ROW()-3)/2*7+COLUMN()-1)&lt;&gt;""</x:formula>
    </x:cfRule>
  </x:conditionalFormatting>
  <x:dataValidations count="2">
    <x:dataValidation type="list" sqref="J5:J34">
      <x:formula1>$S$2:$S$32</x:formula1>
    </x:dataValidation>
    <x:dataValidation type="list" sqref="N5:N34">
      <x:formula1>$T$2:$T$8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5a24897e864535"/>
  </x:tableParts>
</x:worksheet>
</file>